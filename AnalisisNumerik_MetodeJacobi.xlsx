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1492A36D-2406-462A-A1C4-CD09DCDE347C}" xr6:coauthVersionLast="47" xr6:coauthVersionMax="47" xr10:uidLastSave="{00000000-0000-0000-0000-000000000000}"/>
  <bookViews>
    <workbookView xWindow="-110" yWindow="-110" windowWidth="19420" windowHeight="10300" xr2:uid="{55775D78-F751-4CED-A9BE-03314CF1F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" i="1" l="1"/>
  <c r="G104" i="1" s="1"/>
  <c r="C104" i="1"/>
  <c r="B104" i="1"/>
  <c r="D67" i="1"/>
  <c r="G67" i="1" s="1"/>
  <c r="C67" i="1"/>
  <c r="B67" i="1"/>
  <c r="D40" i="1"/>
  <c r="G40" i="1" s="1"/>
  <c r="C40" i="1"/>
  <c r="B40" i="1"/>
  <c r="D7" i="1"/>
  <c r="G7" i="1" s="1"/>
  <c r="C7" i="1"/>
  <c r="B7" i="1"/>
  <c r="C8" i="1" l="1"/>
  <c r="E7" i="1"/>
  <c r="D8" i="1"/>
  <c r="G8" i="1" s="1"/>
  <c r="B8" i="1"/>
  <c r="F7" i="1"/>
  <c r="C41" i="1"/>
  <c r="E40" i="1"/>
  <c r="D41" i="1"/>
  <c r="G41" i="1" s="1"/>
  <c r="B41" i="1"/>
  <c r="F40" i="1"/>
  <c r="C68" i="1"/>
  <c r="E67" i="1"/>
  <c r="D68" i="1"/>
  <c r="G68" i="1" s="1"/>
  <c r="B68" i="1"/>
  <c r="F67" i="1"/>
  <c r="C105" i="1"/>
  <c r="E104" i="1"/>
  <c r="D105" i="1"/>
  <c r="G105" i="1" s="1"/>
  <c r="B105" i="1"/>
  <c r="F104" i="1"/>
  <c r="C106" i="1" l="1"/>
  <c r="E105" i="1"/>
  <c r="H104" i="1"/>
  <c r="D106" i="1"/>
  <c r="G106" i="1" s="1"/>
  <c r="B106" i="1"/>
  <c r="F105" i="1"/>
  <c r="C69" i="1"/>
  <c r="E68" i="1"/>
  <c r="H67" i="1"/>
  <c r="D69" i="1"/>
  <c r="G69" i="1" s="1"/>
  <c r="B69" i="1"/>
  <c r="F68" i="1"/>
  <c r="C42" i="1"/>
  <c r="E41" i="1"/>
  <c r="H40" i="1"/>
  <c r="D42" i="1"/>
  <c r="G42" i="1" s="1"/>
  <c r="B42" i="1"/>
  <c r="F41" i="1"/>
  <c r="C9" i="1"/>
  <c r="E8" i="1"/>
  <c r="H7" i="1"/>
  <c r="D9" i="1"/>
  <c r="G9" i="1" s="1"/>
  <c r="B9" i="1"/>
  <c r="F8" i="1"/>
  <c r="C10" i="1" l="1"/>
  <c r="E9" i="1"/>
  <c r="H8" i="1"/>
  <c r="D10" i="1"/>
  <c r="G10" i="1" s="1"/>
  <c r="B10" i="1"/>
  <c r="F9" i="1"/>
  <c r="C43" i="1"/>
  <c r="E42" i="1"/>
  <c r="H41" i="1"/>
  <c r="D43" i="1"/>
  <c r="G43" i="1" s="1"/>
  <c r="B43" i="1"/>
  <c r="F42" i="1"/>
  <c r="C70" i="1"/>
  <c r="E69" i="1"/>
  <c r="H68" i="1"/>
  <c r="D70" i="1"/>
  <c r="G70" i="1" s="1"/>
  <c r="B70" i="1"/>
  <c r="F69" i="1"/>
  <c r="C107" i="1"/>
  <c r="E106" i="1"/>
  <c r="H105" i="1"/>
  <c r="D107" i="1"/>
  <c r="G107" i="1" s="1"/>
  <c r="B107" i="1"/>
  <c r="F106" i="1"/>
  <c r="C108" i="1" l="1"/>
  <c r="E107" i="1"/>
  <c r="H106" i="1"/>
  <c r="D108" i="1"/>
  <c r="G108" i="1" s="1"/>
  <c r="B108" i="1"/>
  <c r="F107" i="1"/>
  <c r="C71" i="1"/>
  <c r="E70" i="1"/>
  <c r="H69" i="1"/>
  <c r="D71" i="1"/>
  <c r="G71" i="1" s="1"/>
  <c r="B71" i="1"/>
  <c r="F70" i="1"/>
  <c r="C44" i="1"/>
  <c r="E43" i="1"/>
  <c r="H42" i="1"/>
  <c r="D44" i="1"/>
  <c r="G44" i="1" s="1"/>
  <c r="B44" i="1"/>
  <c r="F43" i="1"/>
  <c r="C11" i="1"/>
  <c r="E10" i="1"/>
  <c r="H9" i="1"/>
  <c r="D11" i="1"/>
  <c r="G11" i="1" s="1"/>
  <c r="B11" i="1"/>
  <c r="F10" i="1"/>
  <c r="C12" i="1" l="1"/>
  <c r="E11" i="1"/>
  <c r="H10" i="1"/>
  <c r="D12" i="1"/>
  <c r="G12" i="1" s="1"/>
  <c r="B12" i="1"/>
  <c r="F11" i="1"/>
  <c r="C45" i="1"/>
  <c r="E44" i="1"/>
  <c r="H43" i="1"/>
  <c r="D45" i="1"/>
  <c r="G45" i="1" s="1"/>
  <c r="B45" i="1"/>
  <c r="F44" i="1"/>
  <c r="C72" i="1"/>
  <c r="E71" i="1"/>
  <c r="H70" i="1"/>
  <c r="D72" i="1"/>
  <c r="G72" i="1" s="1"/>
  <c r="B72" i="1"/>
  <c r="F71" i="1"/>
  <c r="C109" i="1"/>
  <c r="E108" i="1"/>
  <c r="H107" i="1"/>
  <c r="D109" i="1"/>
  <c r="G109" i="1" s="1"/>
  <c r="B109" i="1"/>
  <c r="F108" i="1"/>
  <c r="C110" i="1" l="1"/>
  <c r="E109" i="1"/>
  <c r="H108" i="1"/>
  <c r="D110" i="1"/>
  <c r="G110" i="1" s="1"/>
  <c r="B110" i="1"/>
  <c r="F109" i="1"/>
  <c r="C73" i="1"/>
  <c r="E72" i="1"/>
  <c r="H71" i="1"/>
  <c r="D73" i="1"/>
  <c r="G73" i="1" s="1"/>
  <c r="B73" i="1"/>
  <c r="F72" i="1"/>
  <c r="C46" i="1"/>
  <c r="E45" i="1"/>
  <c r="H44" i="1"/>
  <c r="D46" i="1"/>
  <c r="G46" i="1" s="1"/>
  <c r="B46" i="1"/>
  <c r="F45" i="1"/>
  <c r="C13" i="1"/>
  <c r="E12" i="1"/>
  <c r="H11" i="1"/>
  <c r="D13" i="1"/>
  <c r="G13" i="1" s="1"/>
  <c r="B13" i="1"/>
  <c r="F12" i="1"/>
  <c r="C14" i="1" l="1"/>
  <c r="E13" i="1"/>
  <c r="H12" i="1"/>
  <c r="D14" i="1"/>
  <c r="G14" i="1" s="1"/>
  <c r="B14" i="1"/>
  <c r="F13" i="1"/>
  <c r="C47" i="1"/>
  <c r="E46" i="1"/>
  <c r="H45" i="1"/>
  <c r="D47" i="1"/>
  <c r="G47" i="1" s="1"/>
  <c r="B47" i="1"/>
  <c r="F46" i="1"/>
  <c r="C74" i="1"/>
  <c r="E73" i="1"/>
  <c r="H72" i="1"/>
  <c r="D74" i="1"/>
  <c r="G74" i="1" s="1"/>
  <c r="B74" i="1"/>
  <c r="F73" i="1"/>
  <c r="C111" i="1"/>
  <c r="E110" i="1"/>
  <c r="H109" i="1"/>
  <c r="D111" i="1"/>
  <c r="G111" i="1" s="1"/>
  <c r="B111" i="1"/>
  <c r="F110" i="1"/>
  <c r="C112" i="1" l="1"/>
  <c r="E111" i="1"/>
  <c r="H110" i="1"/>
  <c r="D112" i="1"/>
  <c r="G112" i="1" s="1"/>
  <c r="B112" i="1"/>
  <c r="F111" i="1"/>
  <c r="C75" i="1"/>
  <c r="E74" i="1"/>
  <c r="H73" i="1"/>
  <c r="D75" i="1"/>
  <c r="G75" i="1" s="1"/>
  <c r="B75" i="1"/>
  <c r="F74" i="1"/>
  <c r="C48" i="1"/>
  <c r="E47" i="1"/>
  <c r="H46" i="1"/>
  <c r="D48" i="1"/>
  <c r="G48" i="1" s="1"/>
  <c r="B48" i="1"/>
  <c r="F47" i="1"/>
  <c r="C15" i="1"/>
  <c r="E14" i="1"/>
  <c r="H13" i="1"/>
  <c r="D15" i="1"/>
  <c r="G15" i="1" s="1"/>
  <c r="B15" i="1"/>
  <c r="F14" i="1"/>
  <c r="C16" i="1" l="1"/>
  <c r="E15" i="1"/>
  <c r="H14" i="1"/>
  <c r="D16" i="1"/>
  <c r="G16" i="1" s="1"/>
  <c r="B16" i="1"/>
  <c r="F15" i="1"/>
  <c r="C49" i="1"/>
  <c r="E48" i="1"/>
  <c r="H47" i="1"/>
  <c r="D49" i="1"/>
  <c r="G49" i="1" s="1"/>
  <c r="B49" i="1"/>
  <c r="F48" i="1"/>
  <c r="C76" i="1"/>
  <c r="E75" i="1"/>
  <c r="H74" i="1"/>
  <c r="D76" i="1"/>
  <c r="G76" i="1" s="1"/>
  <c r="B76" i="1"/>
  <c r="F75" i="1"/>
  <c r="C113" i="1"/>
  <c r="E112" i="1"/>
  <c r="H111" i="1"/>
  <c r="D113" i="1"/>
  <c r="G113" i="1" s="1"/>
  <c r="B113" i="1"/>
  <c r="F112" i="1"/>
  <c r="C114" i="1" l="1"/>
  <c r="E113" i="1"/>
  <c r="H112" i="1"/>
  <c r="D114" i="1"/>
  <c r="G114" i="1" s="1"/>
  <c r="B114" i="1"/>
  <c r="F113" i="1"/>
  <c r="C77" i="1"/>
  <c r="E76" i="1"/>
  <c r="H75" i="1"/>
  <c r="D77" i="1"/>
  <c r="G77" i="1" s="1"/>
  <c r="B77" i="1"/>
  <c r="F76" i="1"/>
  <c r="C50" i="1"/>
  <c r="E49" i="1"/>
  <c r="H48" i="1"/>
  <c r="D50" i="1"/>
  <c r="G50" i="1" s="1"/>
  <c r="B50" i="1"/>
  <c r="F49" i="1"/>
  <c r="C17" i="1"/>
  <c r="E16" i="1"/>
  <c r="H15" i="1"/>
  <c r="D17" i="1"/>
  <c r="G17" i="1" s="1"/>
  <c r="B17" i="1"/>
  <c r="F16" i="1"/>
  <c r="C18" i="1" l="1"/>
  <c r="E17" i="1"/>
  <c r="H16" i="1"/>
  <c r="D18" i="1"/>
  <c r="G18" i="1" s="1"/>
  <c r="B18" i="1"/>
  <c r="F17" i="1"/>
  <c r="C51" i="1"/>
  <c r="E50" i="1"/>
  <c r="H49" i="1"/>
  <c r="D51" i="1"/>
  <c r="G51" i="1" s="1"/>
  <c r="B51" i="1"/>
  <c r="F50" i="1"/>
  <c r="C78" i="1"/>
  <c r="E77" i="1"/>
  <c r="H76" i="1"/>
  <c r="D78" i="1"/>
  <c r="G78" i="1" s="1"/>
  <c r="B78" i="1"/>
  <c r="F77" i="1"/>
  <c r="C115" i="1"/>
  <c r="E114" i="1"/>
  <c r="H113" i="1"/>
  <c r="D115" i="1"/>
  <c r="G115" i="1" s="1"/>
  <c r="B115" i="1"/>
  <c r="F114" i="1"/>
  <c r="C116" i="1" l="1"/>
  <c r="E115" i="1"/>
  <c r="H114" i="1"/>
  <c r="D116" i="1"/>
  <c r="G116" i="1" s="1"/>
  <c r="B116" i="1"/>
  <c r="F115" i="1"/>
  <c r="C79" i="1"/>
  <c r="E78" i="1"/>
  <c r="H77" i="1"/>
  <c r="D79" i="1"/>
  <c r="G79" i="1" s="1"/>
  <c r="B79" i="1"/>
  <c r="F78" i="1"/>
  <c r="C52" i="1"/>
  <c r="E51" i="1"/>
  <c r="H50" i="1"/>
  <c r="D52" i="1"/>
  <c r="G52" i="1" s="1"/>
  <c r="B52" i="1"/>
  <c r="F51" i="1"/>
  <c r="C19" i="1"/>
  <c r="E18" i="1"/>
  <c r="H17" i="1"/>
  <c r="D19" i="1"/>
  <c r="G19" i="1" s="1"/>
  <c r="B19" i="1"/>
  <c r="F18" i="1"/>
  <c r="C20" i="1" l="1"/>
  <c r="E19" i="1"/>
  <c r="H18" i="1"/>
  <c r="D20" i="1"/>
  <c r="G20" i="1" s="1"/>
  <c r="B20" i="1"/>
  <c r="F19" i="1"/>
  <c r="C53" i="1"/>
  <c r="E52" i="1"/>
  <c r="H51" i="1"/>
  <c r="D53" i="1"/>
  <c r="G53" i="1" s="1"/>
  <c r="B53" i="1"/>
  <c r="F52" i="1"/>
  <c r="C80" i="1"/>
  <c r="E79" i="1"/>
  <c r="H78" i="1"/>
  <c r="D80" i="1"/>
  <c r="G80" i="1" s="1"/>
  <c r="B80" i="1"/>
  <c r="F79" i="1"/>
  <c r="C117" i="1"/>
  <c r="E116" i="1"/>
  <c r="H115" i="1"/>
  <c r="D117" i="1"/>
  <c r="G117" i="1" s="1"/>
  <c r="B117" i="1"/>
  <c r="F116" i="1"/>
  <c r="C118" i="1" l="1"/>
  <c r="E117" i="1"/>
  <c r="H116" i="1"/>
  <c r="D118" i="1"/>
  <c r="G118" i="1" s="1"/>
  <c r="B118" i="1"/>
  <c r="F117" i="1"/>
  <c r="C81" i="1"/>
  <c r="E80" i="1"/>
  <c r="H79" i="1"/>
  <c r="D81" i="1"/>
  <c r="G81" i="1" s="1"/>
  <c r="B81" i="1"/>
  <c r="F80" i="1"/>
  <c r="C54" i="1"/>
  <c r="E53" i="1"/>
  <c r="H52" i="1"/>
  <c r="D54" i="1"/>
  <c r="G54" i="1" s="1"/>
  <c r="B54" i="1"/>
  <c r="F53" i="1"/>
  <c r="C21" i="1"/>
  <c r="E20" i="1"/>
  <c r="H19" i="1"/>
  <c r="D21" i="1"/>
  <c r="G21" i="1" s="1"/>
  <c r="B21" i="1"/>
  <c r="F20" i="1"/>
  <c r="C22" i="1" l="1"/>
  <c r="E21" i="1"/>
  <c r="H20" i="1"/>
  <c r="D22" i="1"/>
  <c r="G22" i="1" s="1"/>
  <c r="B22" i="1"/>
  <c r="F21" i="1"/>
  <c r="C55" i="1"/>
  <c r="E54" i="1"/>
  <c r="H53" i="1"/>
  <c r="D55" i="1"/>
  <c r="G55" i="1" s="1"/>
  <c r="B55" i="1"/>
  <c r="F54" i="1"/>
  <c r="C82" i="1"/>
  <c r="E81" i="1"/>
  <c r="H80" i="1"/>
  <c r="D82" i="1"/>
  <c r="G82" i="1" s="1"/>
  <c r="B82" i="1"/>
  <c r="F81" i="1"/>
  <c r="C119" i="1"/>
  <c r="E118" i="1"/>
  <c r="H117" i="1"/>
  <c r="D119" i="1"/>
  <c r="G119" i="1" s="1"/>
  <c r="B119" i="1"/>
  <c r="F118" i="1"/>
  <c r="C120" i="1" l="1"/>
  <c r="E119" i="1"/>
  <c r="H118" i="1"/>
  <c r="D120" i="1"/>
  <c r="G120" i="1" s="1"/>
  <c r="B120" i="1"/>
  <c r="F119" i="1"/>
  <c r="C83" i="1"/>
  <c r="E82" i="1"/>
  <c r="H81" i="1"/>
  <c r="D83" i="1"/>
  <c r="G83" i="1" s="1"/>
  <c r="B83" i="1"/>
  <c r="F82" i="1"/>
  <c r="C56" i="1"/>
  <c r="E55" i="1"/>
  <c r="H54" i="1"/>
  <c r="D56" i="1"/>
  <c r="G56" i="1" s="1"/>
  <c r="B56" i="1"/>
  <c r="F55" i="1"/>
  <c r="C23" i="1"/>
  <c r="E22" i="1"/>
  <c r="H21" i="1"/>
  <c r="D23" i="1"/>
  <c r="G23" i="1" s="1"/>
  <c r="B23" i="1"/>
  <c r="F22" i="1"/>
  <c r="C24" i="1" l="1"/>
  <c r="E23" i="1"/>
  <c r="H22" i="1"/>
  <c r="D24" i="1"/>
  <c r="G24" i="1" s="1"/>
  <c r="B24" i="1"/>
  <c r="F23" i="1"/>
  <c r="C57" i="1"/>
  <c r="E56" i="1"/>
  <c r="H55" i="1"/>
  <c r="D57" i="1"/>
  <c r="G57" i="1" s="1"/>
  <c r="B57" i="1"/>
  <c r="F56" i="1"/>
  <c r="C84" i="1"/>
  <c r="E83" i="1"/>
  <c r="H82" i="1"/>
  <c r="D84" i="1"/>
  <c r="G84" i="1" s="1"/>
  <c r="B84" i="1"/>
  <c r="F83" i="1"/>
  <c r="C121" i="1"/>
  <c r="E120" i="1"/>
  <c r="H119" i="1"/>
  <c r="D121" i="1"/>
  <c r="G121" i="1" s="1"/>
  <c r="B121" i="1"/>
  <c r="F120" i="1"/>
  <c r="C122" i="1" l="1"/>
  <c r="E121" i="1"/>
  <c r="H120" i="1"/>
  <c r="D122" i="1"/>
  <c r="G122" i="1" s="1"/>
  <c r="B122" i="1"/>
  <c r="F121" i="1"/>
  <c r="C85" i="1"/>
  <c r="E84" i="1"/>
  <c r="H83" i="1"/>
  <c r="D85" i="1"/>
  <c r="G85" i="1" s="1"/>
  <c r="B85" i="1"/>
  <c r="F84" i="1"/>
  <c r="C58" i="1"/>
  <c r="E57" i="1"/>
  <c r="H56" i="1"/>
  <c r="D58" i="1"/>
  <c r="G58" i="1" s="1"/>
  <c r="B58" i="1"/>
  <c r="F57" i="1"/>
  <c r="C25" i="1"/>
  <c r="E24" i="1"/>
  <c r="H23" i="1"/>
  <c r="D25" i="1"/>
  <c r="G25" i="1" s="1"/>
  <c r="B25" i="1"/>
  <c r="F24" i="1"/>
  <c r="C26" i="1" l="1"/>
  <c r="E25" i="1"/>
  <c r="H24" i="1"/>
  <c r="D26" i="1"/>
  <c r="G26" i="1" s="1"/>
  <c r="B26" i="1"/>
  <c r="F25" i="1"/>
  <c r="C59" i="1"/>
  <c r="F59" i="1" s="1"/>
  <c r="E58" i="1"/>
  <c r="H57" i="1"/>
  <c r="D59" i="1"/>
  <c r="G59" i="1" s="1"/>
  <c r="B59" i="1"/>
  <c r="E59" i="1" s="1"/>
  <c r="H59" i="1" s="1"/>
  <c r="F58" i="1"/>
  <c r="C86" i="1"/>
  <c r="E85" i="1"/>
  <c r="H84" i="1"/>
  <c r="D86" i="1"/>
  <c r="G86" i="1" s="1"/>
  <c r="B86" i="1"/>
  <c r="F85" i="1"/>
  <c r="C123" i="1"/>
  <c r="E122" i="1"/>
  <c r="H121" i="1"/>
  <c r="D123" i="1"/>
  <c r="G123" i="1" s="1"/>
  <c r="B123" i="1"/>
  <c r="F122" i="1"/>
  <c r="C124" i="1" l="1"/>
  <c r="E123" i="1"/>
  <c r="H122" i="1"/>
  <c r="D124" i="1"/>
  <c r="G124" i="1" s="1"/>
  <c r="B124" i="1"/>
  <c r="F123" i="1"/>
  <c r="C87" i="1"/>
  <c r="E86" i="1"/>
  <c r="H85" i="1"/>
  <c r="D87" i="1"/>
  <c r="G87" i="1" s="1"/>
  <c r="B87" i="1"/>
  <c r="F86" i="1"/>
  <c r="H58" i="1"/>
  <c r="C27" i="1"/>
  <c r="E26" i="1"/>
  <c r="H25" i="1"/>
  <c r="D27" i="1"/>
  <c r="G27" i="1" s="1"/>
  <c r="B27" i="1"/>
  <c r="F26" i="1"/>
  <c r="C28" i="1" l="1"/>
  <c r="E27" i="1"/>
  <c r="H26" i="1"/>
  <c r="D28" i="1"/>
  <c r="G28" i="1" s="1"/>
  <c r="B28" i="1"/>
  <c r="F27" i="1"/>
  <c r="C88" i="1"/>
  <c r="E87" i="1"/>
  <c r="H86" i="1"/>
  <c r="D88" i="1"/>
  <c r="G88" i="1" s="1"/>
  <c r="B88" i="1"/>
  <c r="F87" i="1"/>
  <c r="C125" i="1"/>
  <c r="E124" i="1"/>
  <c r="H123" i="1"/>
  <c r="D125" i="1"/>
  <c r="G125" i="1" s="1"/>
  <c r="B125" i="1"/>
  <c r="F124" i="1"/>
  <c r="C126" i="1" l="1"/>
  <c r="E125" i="1"/>
  <c r="H124" i="1"/>
  <c r="D126" i="1"/>
  <c r="G126" i="1" s="1"/>
  <c r="B126" i="1"/>
  <c r="F125" i="1"/>
  <c r="C89" i="1"/>
  <c r="E88" i="1"/>
  <c r="H87" i="1"/>
  <c r="D89" i="1"/>
  <c r="G89" i="1" s="1"/>
  <c r="B89" i="1"/>
  <c r="F88" i="1"/>
  <c r="C29" i="1"/>
  <c r="E28" i="1"/>
  <c r="H27" i="1"/>
  <c r="D29" i="1"/>
  <c r="G29" i="1" s="1"/>
  <c r="B29" i="1"/>
  <c r="F28" i="1"/>
  <c r="C30" i="1" l="1"/>
  <c r="E29" i="1"/>
  <c r="H28" i="1"/>
  <c r="D30" i="1"/>
  <c r="G30" i="1" s="1"/>
  <c r="B30" i="1"/>
  <c r="F29" i="1"/>
  <c r="C90" i="1"/>
  <c r="E89" i="1"/>
  <c r="H88" i="1"/>
  <c r="D90" i="1"/>
  <c r="G90" i="1" s="1"/>
  <c r="B90" i="1"/>
  <c r="F89" i="1"/>
  <c r="C127" i="1"/>
  <c r="F127" i="1" s="1"/>
  <c r="E126" i="1"/>
  <c r="H125" i="1"/>
  <c r="D127" i="1"/>
  <c r="G127" i="1" s="1"/>
  <c r="B127" i="1"/>
  <c r="E127" i="1" s="1"/>
  <c r="H127" i="1" s="1"/>
  <c r="F126" i="1"/>
  <c r="H126" i="1" l="1"/>
  <c r="C91" i="1"/>
  <c r="E90" i="1"/>
  <c r="H89" i="1"/>
  <c r="D91" i="1"/>
  <c r="G91" i="1" s="1"/>
  <c r="B91" i="1"/>
  <c r="F90" i="1"/>
  <c r="C31" i="1"/>
  <c r="E30" i="1"/>
  <c r="H29" i="1"/>
  <c r="D31" i="1"/>
  <c r="G31" i="1" s="1"/>
  <c r="B31" i="1"/>
  <c r="F30" i="1"/>
  <c r="C32" i="1" l="1"/>
  <c r="F32" i="1" s="1"/>
  <c r="E31" i="1"/>
  <c r="H30" i="1"/>
  <c r="D32" i="1"/>
  <c r="G32" i="1" s="1"/>
  <c r="B32" i="1"/>
  <c r="E32" i="1" s="1"/>
  <c r="H32" i="1" s="1"/>
  <c r="F31" i="1"/>
  <c r="C92" i="1"/>
  <c r="E91" i="1"/>
  <c r="H90" i="1"/>
  <c r="D92" i="1"/>
  <c r="G92" i="1" s="1"/>
  <c r="B92" i="1"/>
  <c r="F91" i="1"/>
  <c r="C93" i="1" l="1"/>
  <c r="E92" i="1"/>
  <c r="H91" i="1"/>
  <c r="D93" i="1"/>
  <c r="G93" i="1" s="1"/>
  <c r="B93" i="1"/>
  <c r="F92" i="1"/>
  <c r="H31" i="1"/>
  <c r="C94" i="1" l="1"/>
  <c r="E93" i="1"/>
  <c r="H92" i="1"/>
  <c r="D94" i="1"/>
  <c r="G94" i="1" s="1"/>
  <c r="B94" i="1"/>
  <c r="F93" i="1"/>
  <c r="C95" i="1" l="1"/>
  <c r="E94" i="1"/>
  <c r="H93" i="1"/>
  <c r="D95" i="1"/>
  <c r="G95" i="1" s="1"/>
  <c r="B95" i="1"/>
  <c r="F94" i="1"/>
  <c r="C96" i="1" l="1"/>
  <c r="F96" i="1" s="1"/>
  <c r="E95" i="1"/>
  <c r="H94" i="1"/>
  <c r="D96" i="1"/>
  <c r="G96" i="1" s="1"/>
  <c r="B96" i="1"/>
  <c r="E96" i="1" s="1"/>
  <c r="H96" i="1" s="1"/>
  <c r="F95" i="1"/>
  <c r="H95" i="1" l="1"/>
</calcChain>
</file>

<file path=xl/sharedStrings.xml><?xml version="1.0" encoding="utf-8"?>
<sst xmlns="http://schemas.openxmlformats.org/spreadsheetml/2006/main" count="76" uniqueCount="17">
  <si>
    <t>(-2x1)+x2+1/2x3=4</t>
  </si>
  <si>
    <t>menjadi</t>
  </si>
  <si>
    <t>x1=-1/2*(4-x2-1/2*x3)</t>
  </si>
  <si>
    <t>Error relatif</t>
  </si>
  <si>
    <t>x1-2x2-1/2x3=-4</t>
  </si>
  <si>
    <t>x2=-1/2*(-4-x1+1/2*x3)</t>
  </si>
  <si>
    <t>N</t>
  </si>
  <si>
    <t>x2+2x3=0</t>
  </si>
  <si>
    <t>x3=1/2*(-x2)</t>
  </si>
  <si>
    <t>Iterasi ke</t>
  </si>
  <si>
    <t>X1</t>
  </si>
  <si>
    <t>X2</t>
  </si>
  <si>
    <t>X3</t>
  </si>
  <si>
    <t>Error X1</t>
  </si>
  <si>
    <t>Error X2</t>
  </si>
  <si>
    <t>Error X3</t>
  </si>
  <si>
    <t>Max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</si>
</sst>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/>
    <xf numFmtId="10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2" fillId="3" borderId="1" xfId="0" applyFont="1" applyFill="1" applyBorder="1"/>
    <xf numFmtId="164" fontId="2" fillId="3" borderId="1" xfId="1" applyNumberFormat="1" applyFont="1" applyFill="1" applyBorder="1"/>
    <xf numFmtId="165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528F-2FEE-4126-ABDD-E03263443652}">
  <dimension ref="A1:H127"/>
  <sheetViews>
    <sheetView tabSelected="1" topLeftCell="A56" workbookViewId="0">
      <selection activeCell="I66" sqref="I66"/>
    </sheetView>
  </sheetViews>
  <sheetFormatPr defaultRowHeight="15.5" x14ac:dyDescent="0.35"/>
  <cols>
    <col min="1" max="1" width="9.6328125" style="2" bestFit="1" customWidth="1"/>
    <col min="2" max="4" width="8.7265625" style="2"/>
    <col min="5" max="6" width="9.453125" style="2" bestFit="1" customWidth="1"/>
    <col min="7" max="9" width="11.1796875" style="2" bestFit="1" customWidth="1"/>
    <col min="10" max="16384" width="8.7265625" style="2"/>
  </cols>
  <sheetData>
    <row r="1" spans="1:8" x14ac:dyDescent="0.35">
      <c r="A1" s="1" t="s">
        <v>0</v>
      </c>
      <c r="B1" s="1"/>
      <c r="C1" s="2" t="s">
        <v>1</v>
      </c>
      <c r="D1" s="1" t="s">
        <v>2</v>
      </c>
      <c r="E1" s="1"/>
      <c r="F1" s="1"/>
      <c r="G1" s="2" t="s">
        <v>3</v>
      </c>
      <c r="H1" s="3">
        <v>5.0000000000000001E-4</v>
      </c>
    </row>
    <row r="2" spans="1:8" x14ac:dyDescent="0.35">
      <c r="A2" s="1" t="s">
        <v>4</v>
      </c>
      <c r="B2" s="1"/>
      <c r="C2" s="2" t="s">
        <v>1</v>
      </c>
      <c r="D2" s="1" t="s">
        <v>5</v>
      </c>
      <c r="E2" s="1"/>
      <c r="F2" s="1"/>
      <c r="G2" s="2" t="s">
        <v>6</v>
      </c>
      <c r="H2" s="2">
        <v>30</v>
      </c>
    </row>
    <row r="3" spans="1:8" x14ac:dyDescent="0.35">
      <c r="A3" s="1" t="s">
        <v>7</v>
      </c>
      <c r="B3" s="1"/>
      <c r="C3" s="2" t="s">
        <v>1</v>
      </c>
      <c r="D3" s="1" t="s">
        <v>8</v>
      </c>
      <c r="E3" s="1"/>
      <c r="F3" s="1"/>
    </row>
    <row r="5" spans="1:8" x14ac:dyDescent="0.3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x14ac:dyDescent="0.35">
      <c r="A6" s="5">
        <v>0</v>
      </c>
      <c r="B6" s="5">
        <v>2</v>
      </c>
      <c r="C6" s="5">
        <v>5</v>
      </c>
      <c r="D6" s="5">
        <v>8</v>
      </c>
      <c r="E6" s="5"/>
      <c r="F6" s="5"/>
      <c r="G6" s="5"/>
      <c r="H6" s="5"/>
    </row>
    <row r="7" spans="1:8" x14ac:dyDescent="0.35">
      <c r="A7" s="5">
        <v>1</v>
      </c>
      <c r="B7" s="5">
        <f>(-1/2)*(4-C6-1/2*D6)</f>
        <v>2.5</v>
      </c>
      <c r="C7" s="5">
        <f>(-1/2)*((-4)-B6+1/2*D6)</f>
        <v>1</v>
      </c>
      <c r="D7" s="5">
        <f>1/2*(-C6)</f>
        <v>-2.5</v>
      </c>
      <c r="E7" s="5">
        <f t="shared" ref="E7:G22" si="0">ABS((B7-B6)/B7)</f>
        <v>0.2</v>
      </c>
      <c r="F7" s="5">
        <f t="shared" si="0"/>
        <v>4</v>
      </c>
      <c r="G7" s="5">
        <f t="shared" si="0"/>
        <v>4.2</v>
      </c>
      <c r="H7" s="6">
        <f>MAX(E7:G7)</f>
        <v>4.2</v>
      </c>
    </row>
    <row r="8" spans="1:8" x14ac:dyDescent="0.35">
      <c r="A8" s="5">
        <v>2</v>
      </c>
      <c r="B8" s="5">
        <f>(-1/2)*(4-C7-1/2*D7)</f>
        <v>-2.125</v>
      </c>
      <c r="C8" s="5">
        <f>(-1/2)*((-4)-B7+1/2*D7)</f>
        <v>3.875</v>
      </c>
      <c r="D8" s="5">
        <f>1/2*(-C7)</f>
        <v>-0.5</v>
      </c>
      <c r="E8" s="5">
        <f t="shared" si="0"/>
        <v>2.1764705882352939</v>
      </c>
      <c r="F8" s="5">
        <f t="shared" si="0"/>
        <v>0.74193548387096775</v>
      </c>
      <c r="G8" s="5">
        <f t="shared" si="0"/>
        <v>4</v>
      </c>
      <c r="H8" s="6">
        <f>MAX(E8:G8)</f>
        <v>4</v>
      </c>
    </row>
    <row r="9" spans="1:8" x14ac:dyDescent="0.35">
      <c r="A9" s="5">
        <v>3</v>
      </c>
      <c r="B9" s="5">
        <f t="shared" ref="B9:B15" si="1">(-1/2)*(4-C8-1/2*D8)</f>
        <v>-0.1875</v>
      </c>
      <c r="C9" s="5">
        <f t="shared" ref="C9:C15" si="2">(-1/2)*((-4)-B8+1/2*D8)</f>
        <v>1.0625</v>
      </c>
      <c r="D9" s="5">
        <f t="shared" ref="D9:D15" si="3">1/2*(-C8)</f>
        <v>-1.9375</v>
      </c>
      <c r="E9" s="5">
        <f t="shared" si="0"/>
        <v>10.333333333333334</v>
      </c>
      <c r="F9" s="5">
        <f t="shared" si="0"/>
        <v>2.6470588235294117</v>
      </c>
      <c r="G9" s="5">
        <f t="shared" si="0"/>
        <v>0.74193548387096775</v>
      </c>
      <c r="H9" s="6">
        <f t="shared" ref="H9:H15" si="4">MAX(E9:G9)</f>
        <v>10.333333333333334</v>
      </c>
    </row>
    <row r="10" spans="1:8" x14ac:dyDescent="0.35">
      <c r="A10" s="5">
        <v>4</v>
      </c>
      <c r="B10" s="5">
        <f t="shared" si="1"/>
        <v>-1.953125</v>
      </c>
      <c r="C10" s="5">
        <f t="shared" si="2"/>
        <v>2.390625</v>
      </c>
      <c r="D10" s="5">
        <f t="shared" si="3"/>
        <v>-0.53125</v>
      </c>
      <c r="E10" s="5">
        <f t="shared" si="0"/>
        <v>0.90400000000000003</v>
      </c>
      <c r="F10" s="5">
        <f t="shared" si="0"/>
        <v>0.55555555555555558</v>
      </c>
      <c r="G10" s="5">
        <f>ABS((D10-D9)/D10)</f>
        <v>2.6470588235294117</v>
      </c>
      <c r="H10" s="6">
        <f t="shared" si="4"/>
        <v>2.6470588235294117</v>
      </c>
    </row>
    <row r="11" spans="1:8" x14ac:dyDescent="0.35">
      <c r="A11" s="5">
        <v>5</v>
      </c>
      <c r="B11" s="5">
        <f t="shared" si="1"/>
        <v>-0.9375</v>
      </c>
      <c r="C11" s="5">
        <f t="shared" si="2"/>
        <v>1.15625</v>
      </c>
      <c r="D11" s="5">
        <f t="shared" si="3"/>
        <v>-1.1953125</v>
      </c>
      <c r="E11" s="5">
        <f t="shared" si="0"/>
        <v>1.0833333333333333</v>
      </c>
      <c r="F11" s="5">
        <f t="shared" si="0"/>
        <v>1.0675675675675675</v>
      </c>
      <c r="G11" s="5">
        <f t="shared" si="0"/>
        <v>0.55555555555555558</v>
      </c>
      <c r="H11" s="6">
        <f t="shared" si="4"/>
        <v>1.0833333333333333</v>
      </c>
    </row>
    <row r="12" spans="1:8" x14ac:dyDescent="0.35">
      <c r="A12" s="5">
        <v>6</v>
      </c>
      <c r="B12" s="5">
        <f t="shared" si="1"/>
        <v>-1.720703125</v>
      </c>
      <c r="C12" s="5">
        <f t="shared" si="2"/>
        <v>1.830078125</v>
      </c>
      <c r="D12" s="5">
        <f t="shared" si="3"/>
        <v>-0.578125</v>
      </c>
      <c r="E12" s="5">
        <f t="shared" si="0"/>
        <v>0.45516458569807039</v>
      </c>
      <c r="F12" s="5">
        <f t="shared" si="0"/>
        <v>0.36819637139807898</v>
      </c>
      <c r="G12" s="5">
        <f t="shared" si="0"/>
        <v>1.0675675675675675</v>
      </c>
      <c r="H12" s="6">
        <f t="shared" si="4"/>
        <v>1.0675675675675675</v>
      </c>
    </row>
    <row r="13" spans="1:8" x14ac:dyDescent="0.35">
      <c r="A13" s="5">
        <v>7</v>
      </c>
      <c r="B13" s="5">
        <f t="shared" si="1"/>
        <v>-1.2294921875</v>
      </c>
      <c r="C13" s="5">
        <f t="shared" si="2"/>
        <v>1.2841796875</v>
      </c>
      <c r="D13" s="5">
        <f t="shared" si="3"/>
        <v>-0.9150390625</v>
      </c>
      <c r="E13" s="5">
        <f t="shared" si="0"/>
        <v>0.39952343129467832</v>
      </c>
      <c r="F13" s="5">
        <f t="shared" si="0"/>
        <v>0.42509505703422051</v>
      </c>
      <c r="G13" s="5">
        <f t="shared" si="0"/>
        <v>0.36819637139807898</v>
      </c>
      <c r="H13" s="6">
        <f t="shared" si="4"/>
        <v>0.42509505703422051</v>
      </c>
    </row>
    <row r="14" spans="1:8" x14ac:dyDescent="0.35">
      <c r="A14" s="5">
        <v>8</v>
      </c>
      <c r="B14" s="5">
        <f t="shared" si="1"/>
        <v>-1.586669921875</v>
      </c>
      <c r="C14" s="5">
        <f t="shared" si="2"/>
        <v>1.614013671875</v>
      </c>
      <c r="D14" s="5">
        <f t="shared" si="3"/>
        <v>-0.64208984375</v>
      </c>
      <c r="E14" s="5">
        <f t="shared" si="0"/>
        <v>0.22511155562394214</v>
      </c>
      <c r="F14" s="5">
        <f t="shared" si="0"/>
        <v>0.20435637573740736</v>
      </c>
      <c r="G14" s="5">
        <f t="shared" si="0"/>
        <v>0.42509505703422051</v>
      </c>
      <c r="H14" s="6">
        <f t="shared" si="4"/>
        <v>0.42509505703422051</v>
      </c>
    </row>
    <row r="15" spans="1:8" x14ac:dyDescent="0.35">
      <c r="A15" s="5">
        <v>9</v>
      </c>
      <c r="B15" s="5">
        <f t="shared" si="1"/>
        <v>-1.353515625</v>
      </c>
      <c r="C15" s="5">
        <f t="shared" si="2"/>
        <v>1.3671875</v>
      </c>
      <c r="D15" s="5">
        <f t="shared" si="3"/>
        <v>-0.8070068359375</v>
      </c>
      <c r="E15" s="5">
        <f t="shared" si="0"/>
        <v>0.17225829725829725</v>
      </c>
      <c r="F15" s="5">
        <f t="shared" si="0"/>
        <v>0.1805357142857143</v>
      </c>
      <c r="G15" s="5">
        <f t="shared" si="0"/>
        <v>0.20435637573740736</v>
      </c>
      <c r="H15" s="6">
        <f t="shared" si="4"/>
        <v>0.20435637573740736</v>
      </c>
    </row>
    <row r="16" spans="1:8" x14ac:dyDescent="0.35">
      <c r="A16" s="5">
        <v>10</v>
      </c>
      <c r="B16" s="5">
        <f>(-1/2)*(4-C15-1/2*D15)</f>
        <v>-1.518157958984375</v>
      </c>
      <c r="C16" s="5">
        <f>(-1/2)*((-4)-B15+1/2*D15)</f>
        <v>1.524993896484375</v>
      </c>
      <c r="D16" s="5">
        <f>1/2*(-C15)</f>
        <v>-0.68359375</v>
      </c>
      <c r="E16" s="5">
        <f t="shared" si="0"/>
        <v>0.10844875067843288</v>
      </c>
      <c r="F16" s="5">
        <f t="shared" si="0"/>
        <v>0.10348001841067819</v>
      </c>
      <c r="G16" s="5">
        <f t="shared" si="0"/>
        <v>0.1805357142857143</v>
      </c>
      <c r="H16" s="6">
        <f>MAX(E16:G16)</f>
        <v>0.1805357142857143</v>
      </c>
    </row>
    <row r="17" spans="1:8" x14ac:dyDescent="0.35">
      <c r="A17" s="5">
        <v>11</v>
      </c>
      <c r="B17" s="5">
        <f>(-1/2)*(4-C16-1/2*D16)</f>
        <v>-1.4084014892578125</v>
      </c>
      <c r="C17" s="5">
        <f>(-1/2)*((-4)-B16+1/2*D16)</f>
        <v>1.4118194580078125</v>
      </c>
      <c r="D17" s="5">
        <f>1/2*(-C16)</f>
        <v>-0.7624969482421875</v>
      </c>
      <c r="E17" s="5">
        <f t="shared" si="0"/>
        <v>7.7929816578368602E-2</v>
      </c>
      <c r="F17" s="5">
        <f t="shared" si="0"/>
        <v>8.0162118346392863E-2</v>
      </c>
      <c r="G17" s="5">
        <f t="shared" si="0"/>
        <v>0.10348001841067819</v>
      </c>
      <c r="H17" s="6">
        <f>MAX(E17:G17)</f>
        <v>0.10348001841067819</v>
      </c>
    </row>
    <row r="18" spans="1:8" x14ac:dyDescent="0.35">
      <c r="A18" s="5">
        <v>12</v>
      </c>
      <c r="B18" s="5">
        <f t="shared" ref="B18:B23" si="5">(-1/2)*(4-C17-1/2*D17)</f>
        <v>-1.4847145080566406</v>
      </c>
      <c r="C18" s="5">
        <f t="shared" ref="C18:C23" si="6">(-1/2)*((-4)-B17+1/2*D17)</f>
        <v>1.4864234924316406</v>
      </c>
      <c r="D18" s="5">
        <f t="shared" ref="D18:D23" si="7">1/2*(-C17)</f>
        <v>-0.70590972900390625</v>
      </c>
      <c r="E18" s="5">
        <f t="shared" si="0"/>
        <v>5.1399119753140342E-2</v>
      </c>
      <c r="F18" s="5">
        <f t="shared" si="0"/>
        <v>5.0190295567640257E-2</v>
      </c>
      <c r="G18" s="5">
        <f t="shared" si="0"/>
        <v>8.0162118346392863E-2</v>
      </c>
      <c r="H18" s="6">
        <f t="shared" ref="H18:H23" si="8">MAX(E18:G18)</f>
        <v>8.0162118346392863E-2</v>
      </c>
    </row>
    <row r="19" spans="1:8" x14ac:dyDescent="0.35">
      <c r="A19" s="5">
        <v>13</v>
      </c>
      <c r="B19" s="5">
        <f t="shared" si="5"/>
        <v>-1.4332656860351563</v>
      </c>
      <c r="C19" s="5">
        <f t="shared" si="6"/>
        <v>1.4341201782226563</v>
      </c>
      <c r="D19" s="5">
        <f t="shared" si="7"/>
        <v>-0.74321174621582031</v>
      </c>
      <c r="E19" s="5">
        <f t="shared" si="0"/>
        <v>3.58962211422275E-2</v>
      </c>
      <c r="F19" s="5">
        <f t="shared" si="0"/>
        <v>3.6470663339947758E-2</v>
      </c>
      <c r="G19" s="5">
        <f t="shared" si="0"/>
        <v>5.0190295567640257E-2</v>
      </c>
      <c r="H19" s="6">
        <f t="shared" si="8"/>
        <v>5.0190295567640257E-2</v>
      </c>
    </row>
    <row r="20" spans="1:8" x14ac:dyDescent="0.35">
      <c r="A20" s="5">
        <v>14</v>
      </c>
      <c r="B20" s="5">
        <f t="shared" si="5"/>
        <v>-1.468742847442627</v>
      </c>
      <c r="C20" s="5">
        <f t="shared" si="6"/>
        <v>1.469170093536377</v>
      </c>
      <c r="D20" s="5">
        <f t="shared" si="7"/>
        <v>-0.71706008911132813</v>
      </c>
      <c r="E20" s="5">
        <f t="shared" si="0"/>
        <v>2.4154780715523815E-2</v>
      </c>
      <c r="F20" s="5">
        <f t="shared" si="0"/>
        <v>2.3856948537084321E-2</v>
      </c>
      <c r="G20" s="5">
        <f t="shared" si="0"/>
        <v>3.6470663339947758E-2</v>
      </c>
      <c r="H20" s="6">
        <f t="shared" si="8"/>
        <v>3.6470663339947758E-2</v>
      </c>
    </row>
    <row r="21" spans="1:8" x14ac:dyDescent="0.35">
      <c r="A21" s="5">
        <v>15</v>
      </c>
      <c r="B21" s="5">
        <f t="shared" si="5"/>
        <v>-1.4446799755096436</v>
      </c>
      <c r="C21" s="5">
        <f t="shared" si="6"/>
        <v>1.4448935985565186</v>
      </c>
      <c r="D21" s="5">
        <f t="shared" si="7"/>
        <v>-0.73458504676818848</v>
      </c>
      <c r="E21" s="5">
        <f t="shared" si="0"/>
        <v>1.6656195379530111E-2</v>
      </c>
      <c r="F21" s="5">
        <f t="shared" si="0"/>
        <v>1.6801579717780717E-2</v>
      </c>
      <c r="G21" s="5">
        <f t="shared" si="0"/>
        <v>2.3856948537084321E-2</v>
      </c>
      <c r="H21" s="6">
        <f t="shared" si="8"/>
        <v>2.3856948537084321E-2</v>
      </c>
    </row>
    <row r="22" spans="1:8" x14ac:dyDescent="0.35">
      <c r="A22" s="5">
        <v>16</v>
      </c>
      <c r="B22" s="5">
        <f t="shared" si="5"/>
        <v>-1.4611994624137878</v>
      </c>
      <c r="C22" s="5">
        <f t="shared" si="6"/>
        <v>1.4613062739372253</v>
      </c>
      <c r="D22" s="5">
        <f t="shared" si="7"/>
        <v>-0.72244679927825928</v>
      </c>
      <c r="E22" s="5">
        <f t="shared" si="0"/>
        <v>1.1305429086906026E-2</v>
      </c>
      <c r="F22" s="5">
        <f t="shared" si="0"/>
        <v>1.1231509556505087E-2</v>
      </c>
      <c r="G22" s="5">
        <f t="shared" si="0"/>
        <v>1.6801579717780717E-2</v>
      </c>
      <c r="H22" s="6">
        <f t="shared" si="8"/>
        <v>1.6801579717780717E-2</v>
      </c>
    </row>
    <row r="23" spans="1:8" x14ac:dyDescent="0.35">
      <c r="A23" s="5">
        <v>17</v>
      </c>
      <c r="B23" s="5">
        <f t="shared" si="5"/>
        <v>-1.4499585628509521</v>
      </c>
      <c r="C23" s="5">
        <f t="shared" si="6"/>
        <v>1.4500119686126709</v>
      </c>
      <c r="D23" s="5">
        <f t="shared" si="7"/>
        <v>-0.73065313696861267</v>
      </c>
      <c r="E23" s="5">
        <f t="shared" ref="E23:G32" si="9">ABS((B23-B22)/B23)</f>
        <v>7.7525660738424814E-3</v>
      </c>
      <c r="F23" s="5">
        <f t="shared" si="9"/>
        <v>7.7891117928912713E-3</v>
      </c>
      <c r="G23" s="5">
        <f t="shared" si="9"/>
        <v>1.1231509556505087E-2</v>
      </c>
      <c r="H23" s="6">
        <f t="shared" si="8"/>
        <v>1.1231509556505087E-2</v>
      </c>
    </row>
    <row r="24" spans="1:8" x14ac:dyDescent="0.35">
      <c r="A24" s="5">
        <v>18</v>
      </c>
      <c r="B24" s="5">
        <f>(-1/2)*(4-C23-1/2*D23)</f>
        <v>-1.4576572999358177</v>
      </c>
      <c r="C24" s="5">
        <f>(-1/2)*((-4)-B23+1/2*D23)</f>
        <v>1.4576840028166771</v>
      </c>
      <c r="D24" s="5">
        <f>1/2*(-C23)</f>
        <v>-0.72500598430633545</v>
      </c>
      <c r="E24" s="5">
        <f t="shared" si="9"/>
        <v>5.2815823617832214E-3</v>
      </c>
      <c r="F24" s="5">
        <f t="shared" si="9"/>
        <v>5.2631669066694519E-3</v>
      </c>
      <c r="G24" s="5">
        <f t="shared" si="9"/>
        <v>7.7891117928912713E-3</v>
      </c>
      <c r="H24" s="6">
        <f>MAX(E24:G24)</f>
        <v>7.7891117928912713E-3</v>
      </c>
    </row>
    <row r="25" spans="1:8" x14ac:dyDescent="0.35">
      <c r="A25" s="5">
        <v>19</v>
      </c>
      <c r="B25" s="5">
        <f>(-1/2)*(4-C24-1/2*D24)</f>
        <v>-1.4524094946682453</v>
      </c>
      <c r="C25" s="5">
        <f>(-1/2)*((-4)-B24+1/2*D24)</f>
        <v>1.452422846108675</v>
      </c>
      <c r="D25" s="5">
        <f>1/2*(-C24)</f>
        <v>-0.72884200140833855</v>
      </c>
      <c r="E25" s="5">
        <f t="shared" si="9"/>
        <v>3.6131719648191158E-3</v>
      </c>
      <c r="F25" s="5">
        <f t="shared" si="9"/>
        <v>3.6223312805205169E-3</v>
      </c>
      <c r="G25" s="5">
        <f t="shared" si="9"/>
        <v>5.2631669066694519E-3</v>
      </c>
      <c r="H25" s="6">
        <f>MAX(E25:G25)</f>
        <v>5.2631669066694519E-3</v>
      </c>
    </row>
    <row r="26" spans="1:8" x14ac:dyDescent="0.35">
      <c r="A26" s="5">
        <v>20</v>
      </c>
      <c r="B26" s="5">
        <f t="shared" ref="B26:B32" si="10">(-1/2)*(4-C25-1/2*D25)</f>
        <v>-1.4559990772977471</v>
      </c>
      <c r="C26" s="5">
        <f t="shared" ref="C26:C32" si="11">(-1/2)*((-4)-B25+1/2*D25)</f>
        <v>1.456005753017962</v>
      </c>
      <c r="D26" s="5">
        <f t="shared" ref="D26:D32" si="12">1/2*(-C25)</f>
        <v>-0.7262114230543375</v>
      </c>
      <c r="E26" s="5">
        <f t="shared" si="9"/>
        <v>2.4653742474644177E-3</v>
      </c>
      <c r="F26" s="5">
        <f t="shared" si="9"/>
        <v>2.460777989276788E-3</v>
      </c>
      <c r="G26" s="5">
        <f t="shared" si="9"/>
        <v>3.6223312805205169E-3</v>
      </c>
      <c r="H26" s="6">
        <f t="shared" ref="H26:H32" si="13">MAX(E26:G26)</f>
        <v>3.6223312805205169E-3</v>
      </c>
    </row>
    <row r="27" spans="1:8" x14ac:dyDescent="0.35">
      <c r="A27" s="5">
        <v>21</v>
      </c>
      <c r="B27" s="5">
        <f t="shared" si="10"/>
        <v>-1.4535499792546034</v>
      </c>
      <c r="C27" s="5">
        <f t="shared" si="11"/>
        <v>1.4535533171147108</v>
      </c>
      <c r="D27" s="5">
        <f t="shared" si="12"/>
        <v>-0.72800287650898099</v>
      </c>
      <c r="E27" s="5">
        <f t="shared" si="9"/>
        <v>1.6849080376305147E-3</v>
      </c>
      <c r="F27" s="5">
        <f t="shared" si="9"/>
        <v>1.6872005136483281E-3</v>
      </c>
      <c r="G27" s="5">
        <f t="shared" si="9"/>
        <v>2.460777989276788E-3</v>
      </c>
      <c r="H27" s="6">
        <f t="shared" si="13"/>
        <v>2.460777989276788E-3</v>
      </c>
    </row>
    <row r="28" spans="1:8" x14ac:dyDescent="0.35">
      <c r="A28" s="5">
        <v>22</v>
      </c>
      <c r="B28" s="5">
        <f t="shared" si="10"/>
        <v>-1.4552240605698898</v>
      </c>
      <c r="C28" s="5">
        <f t="shared" si="11"/>
        <v>1.4552257294999436</v>
      </c>
      <c r="D28" s="5">
        <f t="shared" si="12"/>
        <v>-0.7267766585573554</v>
      </c>
      <c r="E28" s="5">
        <f t="shared" si="9"/>
        <v>1.1503941974618393E-3</v>
      </c>
      <c r="F28" s="5">
        <f t="shared" si="9"/>
        <v>1.1492460250874168E-3</v>
      </c>
      <c r="G28" s="5">
        <f t="shared" si="9"/>
        <v>1.6872005136483281E-3</v>
      </c>
      <c r="H28" s="6">
        <f t="shared" si="13"/>
        <v>1.6872005136483281E-3</v>
      </c>
    </row>
    <row r="29" spans="1:8" x14ac:dyDescent="0.35">
      <c r="A29" s="5">
        <v>23</v>
      </c>
      <c r="B29" s="5">
        <f t="shared" si="10"/>
        <v>-1.4540812998893671</v>
      </c>
      <c r="C29" s="5">
        <f t="shared" si="11"/>
        <v>1.4540821343543939</v>
      </c>
      <c r="D29" s="5">
        <f t="shared" si="12"/>
        <v>-0.72761286474997178</v>
      </c>
      <c r="E29" s="5">
        <f t="shared" si="9"/>
        <v>7.8589875312316858E-4</v>
      </c>
      <c r="F29" s="5">
        <f t="shared" si="9"/>
        <v>7.8647217961822793E-4</v>
      </c>
      <c r="G29" s="5">
        <f t="shared" si="9"/>
        <v>1.1492460250874168E-3</v>
      </c>
      <c r="H29" s="6">
        <f t="shared" si="13"/>
        <v>1.1492460250874168E-3</v>
      </c>
    </row>
    <row r="30" spans="1:8" x14ac:dyDescent="0.35">
      <c r="A30" s="5">
        <v>24</v>
      </c>
      <c r="B30" s="5">
        <f t="shared" si="10"/>
        <v>-1.454862149010296</v>
      </c>
      <c r="C30" s="5">
        <f t="shared" si="11"/>
        <v>1.4548625662428094</v>
      </c>
      <c r="D30" s="5">
        <f t="shared" si="12"/>
        <v>-0.72704106717719696</v>
      </c>
      <c r="E30" s="5">
        <f t="shared" si="9"/>
        <v>5.3671691263677238E-4</v>
      </c>
      <c r="F30" s="5">
        <f t="shared" si="9"/>
        <v>5.3642997388471392E-4</v>
      </c>
      <c r="G30" s="5">
        <f t="shared" si="9"/>
        <v>7.8647217961822793E-4</v>
      </c>
      <c r="H30" s="6">
        <f t="shared" si="13"/>
        <v>7.8647217961822793E-4</v>
      </c>
    </row>
    <row r="31" spans="1:8" x14ac:dyDescent="0.35">
      <c r="A31" s="5">
        <v>25</v>
      </c>
      <c r="B31" s="5">
        <f t="shared" si="10"/>
        <v>-1.4543289836728945</v>
      </c>
      <c r="C31" s="5">
        <f t="shared" si="11"/>
        <v>1.4543291922891513</v>
      </c>
      <c r="D31" s="5">
        <f t="shared" si="12"/>
        <v>-0.7274312831214047</v>
      </c>
      <c r="E31" s="5">
        <f t="shared" si="9"/>
        <v>3.6660572909365946E-4</v>
      </c>
      <c r="F31" s="5">
        <f t="shared" si="9"/>
        <v>3.6674912150983635E-4</v>
      </c>
      <c r="G31" s="5">
        <f t="shared" si="9"/>
        <v>5.3642997388471392E-4</v>
      </c>
      <c r="H31" s="6">
        <f t="shared" si="13"/>
        <v>5.3642997388471392E-4</v>
      </c>
    </row>
    <row r="32" spans="1:8" x14ac:dyDescent="0.35">
      <c r="A32" s="7">
        <v>26</v>
      </c>
      <c r="B32" s="7">
        <f t="shared" si="10"/>
        <v>-1.4546932246357756</v>
      </c>
      <c r="C32" s="7">
        <f t="shared" si="11"/>
        <v>1.4546933289439039</v>
      </c>
      <c r="D32" s="7">
        <f t="shared" si="12"/>
        <v>-0.72716459614457563</v>
      </c>
      <c r="E32" s="7">
        <f t="shared" si="9"/>
        <v>2.503902243527745E-4</v>
      </c>
      <c r="F32" s="7">
        <f t="shared" si="9"/>
        <v>2.5031850185015716E-4</v>
      </c>
      <c r="G32" s="7">
        <f t="shared" si="9"/>
        <v>3.6674912150983635E-4</v>
      </c>
      <c r="H32" s="8">
        <f t="shared" si="13"/>
        <v>3.6674912150983635E-4</v>
      </c>
    </row>
    <row r="34" spans="1:8" x14ac:dyDescent="0.35">
      <c r="A34" s="1" t="s">
        <v>0</v>
      </c>
      <c r="B34" s="1"/>
      <c r="C34" s="2" t="s">
        <v>1</v>
      </c>
      <c r="D34" s="1" t="s">
        <v>2</v>
      </c>
      <c r="E34" s="1"/>
      <c r="F34" s="1"/>
      <c r="G34" s="2" t="s">
        <v>3</v>
      </c>
      <c r="H34" s="9">
        <v>5.0000000000000001E-3</v>
      </c>
    </row>
    <row r="35" spans="1:8" x14ac:dyDescent="0.35">
      <c r="A35" s="1" t="s">
        <v>4</v>
      </c>
      <c r="B35" s="1"/>
      <c r="C35" s="2" t="s">
        <v>1</v>
      </c>
      <c r="D35" s="1" t="s">
        <v>5</v>
      </c>
      <c r="E35" s="1"/>
      <c r="F35" s="1"/>
      <c r="G35" s="2" t="s">
        <v>6</v>
      </c>
      <c r="H35" s="2">
        <v>30</v>
      </c>
    </row>
    <row r="36" spans="1:8" x14ac:dyDescent="0.35">
      <c r="A36" s="1" t="s">
        <v>7</v>
      </c>
      <c r="B36" s="1"/>
      <c r="C36" s="2" t="s">
        <v>1</v>
      </c>
      <c r="D36" s="1" t="s">
        <v>8</v>
      </c>
      <c r="E36" s="1"/>
      <c r="F36" s="1"/>
    </row>
    <row r="38" spans="1:8" x14ac:dyDescent="0.35">
      <c r="A38" s="4" t="s">
        <v>9</v>
      </c>
      <c r="B38" s="4" t="s">
        <v>10</v>
      </c>
      <c r="C38" s="4" t="s">
        <v>11</v>
      </c>
      <c r="D38" s="4" t="s">
        <v>12</v>
      </c>
      <c r="E38" s="4" t="s">
        <v>13</v>
      </c>
      <c r="F38" s="4" t="s">
        <v>14</v>
      </c>
      <c r="G38" s="4" t="s">
        <v>15</v>
      </c>
      <c r="H38" s="4" t="s">
        <v>16</v>
      </c>
    </row>
    <row r="39" spans="1:8" x14ac:dyDescent="0.35">
      <c r="A39" s="5">
        <v>0</v>
      </c>
      <c r="B39" s="5">
        <v>2</v>
      </c>
      <c r="C39" s="5">
        <v>5</v>
      </c>
      <c r="D39" s="5">
        <v>8</v>
      </c>
      <c r="E39" s="5"/>
      <c r="F39" s="5"/>
      <c r="G39" s="5"/>
      <c r="H39" s="5"/>
    </row>
    <row r="40" spans="1:8" x14ac:dyDescent="0.35">
      <c r="A40" s="5">
        <v>1</v>
      </c>
      <c r="B40" s="5">
        <f>(-1/2)*(4-C39-1/2*D39)</f>
        <v>2.5</v>
      </c>
      <c r="C40" s="5">
        <f>(-1/2)*((-4)-B39+1/2*D39)</f>
        <v>1</v>
      </c>
      <c r="D40" s="5">
        <f>1/2*(-C39)</f>
        <v>-2.5</v>
      </c>
      <c r="E40" s="5">
        <f t="shared" ref="E40:G55" si="14">ABS((B40-B39)/B40)</f>
        <v>0.2</v>
      </c>
      <c r="F40" s="5">
        <f t="shared" si="14"/>
        <v>4</v>
      </c>
      <c r="G40" s="5">
        <f t="shared" si="14"/>
        <v>4.2</v>
      </c>
      <c r="H40" s="6">
        <f>MAX(E40:G40)</f>
        <v>4.2</v>
      </c>
    </row>
    <row r="41" spans="1:8" x14ac:dyDescent="0.35">
      <c r="A41" s="5">
        <v>2</v>
      </c>
      <c r="B41" s="5">
        <f>(-1/2)*(4-C40-1/2*D40)</f>
        <v>-2.125</v>
      </c>
      <c r="C41" s="5">
        <f>(-1/2)*((-4)-B40+1/2*D40)</f>
        <v>3.875</v>
      </c>
      <c r="D41" s="5">
        <f>1/2*(-C40)</f>
        <v>-0.5</v>
      </c>
      <c r="E41" s="5">
        <f t="shared" si="14"/>
        <v>2.1764705882352939</v>
      </c>
      <c r="F41" s="5">
        <f t="shared" si="14"/>
        <v>0.74193548387096775</v>
      </c>
      <c r="G41" s="5">
        <f t="shared" si="14"/>
        <v>4</v>
      </c>
      <c r="H41" s="6">
        <f>MAX(E41:G41)</f>
        <v>4</v>
      </c>
    </row>
    <row r="42" spans="1:8" x14ac:dyDescent="0.35">
      <c r="A42" s="5">
        <v>3</v>
      </c>
      <c r="B42" s="5">
        <f t="shared" ref="B42:B53" si="15">(-1/2)*(4-C41-1/2*D41)</f>
        <v>-0.1875</v>
      </c>
      <c r="C42" s="5">
        <f t="shared" ref="C42:C53" si="16">(-1/2)*((-4)-B41+1/2*D41)</f>
        <v>1.0625</v>
      </c>
      <c r="D42" s="5">
        <f t="shared" ref="D42:D53" si="17">1/2*(-C41)</f>
        <v>-1.9375</v>
      </c>
      <c r="E42" s="5">
        <f t="shared" si="14"/>
        <v>10.333333333333334</v>
      </c>
      <c r="F42" s="5">
        <f t="shared" si="14"/>
        <v>2.6470588235294117</v>
      </c>
      <c r="G42" s="5">
        <f t="shared" si="14"/>
        <v>0.74193548387096775</v>
      </c>
      <c r="H42" s="6">
        <f t="shared" ref="H42:H53" si="18">MAX(E42:G42)</f>
        <v>10.333333333333334</v>
      </c>
    </row>
    <row r="43" spans="1:8" x14ac:dyDescent="0.35">
      <c r="A43" s="5">
        <v>4</v>
      </c>
      <c r="B43" s="5">
        <f t="shared" si="15"/>
        <v>-1.953125</v>
      </c>
      <c r="C43" s="5">
        <f t="shared" si="16"/>
        <v>2.390625</v>
      </c>
      <c r="D43" s="5">
        <f t="shared" si="17"/>
        <v>-0.53125</v>
      </c>
      <c r="E43" s="5">
        <f t="shared" si="14"/>
        <v>0.90400000000000003</v>
      </c>
      <c r="F43" s="5">
        <f t="shared" si="14"/>
        <v>0.55555555555555558</v>
      </c>
      <c r="G43" s="5">
        <f t="shared" si="14"/>
        <v>2.6470588235294117</v>
      </c>
      <c r="H43" s="6">
        <f t="shared" si="18"/>
        <v>2.6470588235294117</v>
      </c>
    </row>
    <row r="44" spans="1:8" x14ac:dyDescent="0.35">
      <c r="A44" s="5">
        <v>5</v>
      </c>
      <c r="B44" s="5">
        <f t="shared" si="15"/>
        <v>-0.9375</v>
      </c>
      <c r="C44" s="5">
        <f t="shared" si="16"/>
        <v>1.15625</v>
      </c>
      <c r="D44" s="5">
        <f t="shared" si="17"/>
        <v>-1.1953125</v>
      </c>
      <c r="E44" s="5">
        <f t="shared" si="14"/>
        <v>1.0833333333333333</v>
      </c>
      <c r="F44" s="5">
        <f t="shared" si="14"/>
        <v>1.0675675675675675</v>
      </c>
      <c r="G44" s="5">
        <f t="shared" si="14"/>
        <v>0.55555555555555558</v>
      </c>
      <c r="H44" s="6">
        <f t="shared" si="18"/>
        <v>1.0833333333333333</v>
      </c>
    </row>
    <row r="45" spans="1:8" x14ac:dyDescent="0.35">
      <c r="A45" s="5">
        <v>6</v>
      </c>
      <c r="B45" s="5">
        <f t="shared" si="15"/>
        <v>-1.720703125</v>
      </c>
      <c r="C45" s="5">
        <f t="shared" si="16"/>
        <v>1.830078125</v>
      </c>
      <c r="D45" s="5">
        <f t="shared" si="17"/>
        <v>-0.578125</v>
      </c>
      <c r="E45" s="5">
        <f t="shared" si="14"/>
        <v>0.45516458569807039</v>
      </c>
      <c r="F45" s="5">
        <f t="shared" si="14"/>
        <v>0.36819637139807898</v>
      </c>
      <c r="G45" s="5">
        <f t="shared" si="14"/>
        <v>1.0675675675675675</v>
      </c>
      <c r="H45" s="6">
        <f t="shared" si="18"/>
        <v>1.0675675675675675</v>
      </c>
    </row>
    <row r="46" spans="1:8" x14ac:dyDescent="0.35">
      <c r="A46" s="5">
        <v>7</v>
      </c>
      <c r="B46" s="5">
        <f t="shared" si="15"/>
        <v>-1.2294921875</v>
      </c>
      <c r="C46" s="5">
        <f t="shared" si="16"/>
        <v>1.2841796875</v>
      </c>
      <c r="D46" s="5">
        <f t="shared" si="17"/>
        <v>-0.9150390625</v>
      </c>
      <c r="E46" s="5">
        <f t="shared" si="14"/>
        <v>0.39952343129467832</v>
      </c>
      <c r="F46" s="5">
        <f t="shared" si="14"/>
        <v>0.42509505703422051</v>
      </c>
      <c r="G46" s="5">
        <f t="shared" si="14"/>
        <v>0.36819637139807898</v>
      </c>
      <c r="H46" s="6">
        <f t="shared" si="18"/>
        <v>0.42509505703422051</v>
      </c>
    </row>
    <row r="47" spans="1:8" x14ac:dyDescent="0.35">
      <c r="A47" s="5">
        <v>8</v>
      </c>
      <c r="B47" s="5">
        <f t="shared" si="15"/>
        <v>-1.586669921875</v>
      </c>
      <c r="C47" s="5">
        <f t="shared" si="16"/>
        <v>1.614013671875</v>
      </c>
      <c r="D47" s="5">
        <f t="shared" si="17"/>
        <v>-0.64208984375</v>
      </c>
      <c r="E47" s="5">
        <f t="shared" si="14"/>
        <v>0.22511155562394214</v>
      </c>
      <c r="F47" s="5">
        <f t="shared" si="14"/>
        <v>0.20435637573740736</v>
      </c>
      <c r="G47" s="5">
        <f t="shared" si="14"/>
        <v>0.42509505703422051</v>
      </c>
      <c r="H47" s="6">
        <f t="shared" si="18"/>
        <v>0.42509505703422051</v>
      </c>
    </row>
    <row r="48" spans="1:8" x14ac:dyDescent="0.35">
      <c r="A48" s="5">
        <v>9</v>
      </c>
      <c r="B48" s="5">
        <f t="shared" si="15"/>
        <v>-1.353515625</v>
      </c>
      <c r="C48" s="5">
        <f t="shared" si="16"/>
        <v>1.3671875</v>
      </c>
      <c r="D48" s="5">
        <f t="shared" si="17"/>
        <v>-0.8070068359375</v>
      </c>
      <c r="E48" s="5">
        <f t="shared" si="14"/>
        <v>0.17225829725829725</v>
      </c>
      <c r="F48" s="5">
        <f t="shared" si="14"/>
        <v>0.1805357142857143</v>
      </c>
      <c r="G48" s="5">
        <f t="shared" si="14"/>
        <v>0.20435637573740736</v>
      </c>
      <c r="H48" s="6">
        <f t="shared" si="18"/>
        <v>0.20435637573740736</v>
      </c>
    </row>
    <row r="49" spans="1:8" x14ac:dyDescent="0.35">
      <c r="A49" s="5">
        <v>10</v>
      </c>
      <c r="B49" s="5">
        <f t="shared" si="15"/>
        <v>-1.518157958984375</v>
      </c>
      <c r="C49" s="5">
        <f t="shared" si="16"/>
        <v>1.524993896484375</v>
      </c>
      <c r="D49" s="5">
        <f t="shared" si="17"/>
        <v>-0.68359375</v>
      </c>
      <c r="E49" s="5">
        <f t="shared" si="14"/>
        <v>0.10844875067843288</v>
      </c>
      <c r="F49" s="5">
        <f t="shared" si="14"/>
        <v>0.10348001841067819</v>
      </c>
      <c r="G49" s="5">
        <f t="shared" si="14"/>
        <v>0.1805357142857143</v>
      </c>
      <c r="H49" s="6">
        <f t="shared" si="18"/>
        <v>0.1805357142857143</v>
      </c>
    </row>
    <row r="50" spans="1:8" x14ac:dyDescent="0.35">
      <c r="A50" s="5">
        <v>11</v>
      </c>
      <c r="B50" s="5">
        <f t="shared" si="15"/>
        <v>-1.4084014892578125</v>
      </c>
      <c r="C50" s="5">
        <f t="shared" si="16"/>
        <v>1.4118194580078125</v>
      </c>
      <c r="D50" s="5">
        <f t="shared" si="17"/>
        <v>-0.7624969482421875</v>
      </c>
      <c r="E50" s="5">
        <f t="shared" si="14"/>
        <v>7.7929816578368602E-2</v>
      </c>
      <c r="F50" s="5">
        <f t="shared" si="14"/>
        <v>8.0162118346392863E-2</v>
      </c>
      <c r="G50" s="5">
        <f t="shared" si="14"/>
        <v>0.10348001841067819</v>
      </c>
      <c r="H50" s="6">
        <f t="shared" si="18"/>
        <v>0.10348001841067819</v>
      </c>
    </row>
    <row r="51" spans="1:8" x14ac:dyDescent="0.35">
      <c r="A51" s="5">
        <v>12</v>
      </c>
      <c r="B51" s="5">
        <f t="shared" si="15"/>
        <v>-1.4847145080566406</v>
      </c>
      <c r="C51" s="5">
        <f t="shared" si="16"/>
        <v>1.4864234924316406</v>
      </c>
      <c r="D51" s="5">
        <f t="shared" si="17"/>
        <v>-0.70590972900390625</v>
      </c>
      <c r="E51" s="5">
        <f t="shared" si="14"/>
        <v>5.1399119753140342E-2</v>
      </c>
      <c r="F51" s="5">
        <f t="shared" si="14"/>
        <v>5.0190295567640257E-2</v>
      </c>
      <c r="G51" s="5">
        <f t="shared" si="14"/>
        <v>8.0162118346392863E-2</v>
      </c>
      <c r="H51" s="6">
        <f t="shared" si="18"/>
        <v>8.0162118346392863E-2</v>
      </c>
    </row>
    <row r="52" spans="1:8" x14ac:dyDescent="0.35">
      <c r="A52" s="5">
        <v>13</v>
      </c>
      <c r="B52" s="5">
        <f t="shared" si="15"/>
        <v>-1.4332656860351563</v>
      </c>
      <c r="C52" s="5">
        <f t="shared" si="16"/>
        <v>1.4341201782226563</v>
      </c>
      <c r="D52" s="5">
        <f t="shared" si="17"/>
        <v>-0.74321174621582031</v>
      </c>
      <c r="E52" s="5">
        <f t="shared" si="14"/>
        <v>3.58962211422275E-2</v>
      </c>
      <c r="F52" s="5">
        <f t="shared" si="14"/>
        <v>3.6470663339947758E-2</v>
      </c>
      <c r="G52" s="5">
        <f t="shared" si="14"/>
        <v>5.0190295567640257E-2</v>
      </c>
      <c r="H52" s="6">
        <f t="shared" si="18"/>
        <v>5.0190295567640257E-2</v>
      </c>
    </row>
    <row r="53" spans="1:8" x14ac:dyDescent="0.35">
      <c r="A53" s="5">
        <v>14</v>
      </c>
      <c r="B53" s="5">
        <f t="shared" si="15"/>
        <v>-1.468742847442627</v>
      </c>
      <c r="C53" s="5">
        <f t="shared" si="16"/>
        <v>1.469170093536377</v>
      </c>
      <c r="D53" s="5">
        <f t="shared" si="17"/>
        <v>-0.71706008911132813</v>
      </c>
      <c r="E53" s="5">
        <f t="shared" si="14"/>
        <v>2.4154780715523815E-2</v>
      </c>
      <c r="F53" s="5">
        <f t="shared" si="14"/>
        <v>2.3856948537084321E-2</v>
      </c>
      <c r="G53" s="5">
        <f t="shared" si="14"/>
        <v>3.6470663339947758E-2</v>
      </c>
      <c r="H53" s="6">
        <f t="shared" si="18"/>
        <v>3.6470663339947758E-2</v>
      </c>
    </row>
    <row r="54" spans="1:8" x14ac:dyDescent="0.35">
      <c r="A54" s="5">
        <v>15</v>
      </c>
      <c r="B54" s="5">
        <f>(-1/2)*(4-C53-1/2*D53)</f>
        <v>-1.4446799755096436</v>
      </c>
      <c r="C54" s="5">
        <f>(-1/2)*((-4)-B53+1/2*D53)</f>
        <v>1.4448935985565186</v>
      </c>
      <c r="D54" s="5">
        <f>1/2*(-C53)</f>
        <v>-0.73458504676818848</v>
      </c>
      <c r="E54" s="5">
        <f t="shared" si="14"/>
        <v>1.6656195379530111E-2</v>
      </c>
      <c r="F54" s="5">
        <f t="shared" si="14"/>
        <v>1.6801579717780717E-2</v>
      </c>
      <c r="G54" s="5">
        <f t="shared" si="14"/>
        <v>2.3856948537084321E-2</v>
      </c>
      <c r="H54" s="6">
        <f>MAX(E54:G54)</f>
        <v>2.3856948537084321E-2</v>
      </c>
    </row>
    <row r="55" spans="1:8" x14ac:dyDescent="0.35">
      <c r="A55" s="5">
        <v>16</v>
      </c>
      <c r="B55" s="5">
        <f>(-1/2)*(4-C54-1/2*D54)</f>
        <v>-1.4611994624137878</v>
      </c>
      <c r="C55" s="5">
        <f>(-1/2)*((-4)-B54+1/2*D54)</f>
        <v>1.4613062739372253</v>
      </c>
      <c r="D55" s="5">
        <f>1/2*(-C54)</f>
        <v>-0.72244679927825928</v>
      </c>
      <c r="E55" s="5">
        <f t="shared" si="14"/>
        <v>1.1305429086906026E-2</v>
      </c>
      <c r="F55" s="5">
        <f t="shared" si="14"/>
        <v>1.1231509556505087E-2</v>
      </c>
      <c r="G55" s="5">
        <f t="shared" si="14"/>
        <v>1.6801579717780717E-2</v>
      </c>
      <c r="H55" s="6">
        <f>MAX(E55:G55)</f>
        <v>1.6801579717780717E-2</v>
      </c>
    </row>
    <row r="56" spans="1:8" x14ac:dyDescent="0.35">
      <c r="A56" s="5">
        <v>17</v>
      </c>
      <c r="B56" s="5">
        <f t="shared" ref="B56:B59" si="19">(-1/2)*(4-C55-1/2*D55)</f>
        <v>-1.4499585628509521</v>
      </c>
      <c r="C56" s="5">
        <f t="shared" ref="C56:C59" si="20">(-1/2)*((-4)-B55+1/2*D55)</f>
        <v>1.4500119686126709</v>
      </c>
      <c r="D56" s="5">
        <f t="shared" ref="D56:D59" si="21">1/2*(-C55)</f>
        <v>-0.73065313696861267</v>
      </c>
      <c r="E56" s="5">
        <f t="shared" ref="E56:G59" si="22">ABS((B56-B55)/B56)</f>
        <v>7.7525660738424814E-3</v>
      </c>
      <c r="F56" s="5">
        <f t="shared" si="22"/>
        <v>7.7891117928912713E-3</v>
      </c>
      <c r="G56" s="5">
        <f t="shared" si="22"/>
        <v>1.1231509556505087E-2</v>
      </c>
      <c r="H56" s="6">
        <f t="shared" ref="H56:H59" si="23">MAX(E56:G56)</f>
        <v>1.1231509556505087E-2</v>
      </c>
    </row>
    <row r="57" spans="1:8" x14ac:dyDescent="0.35">
      <c r="A57" s="5">
        <v>18</v>
      </c>
      <c r="B57" s="5">
        <f t="shared" si="19"/>
        <v>-1.4576572999358177</v>
      </c>
      <c r="C57" s="5">
        <f t="shared" si="20"/>
        <v>1.4576840028166771</v>
      </c>
      <c r="D57" s="5">
        <f t="shared" si="21"/>
        <v>-0.72500598430633545</v>
      </c>
      <c r="E57" s="5">
        <f t="shared" si="22"/>
        <v>5.2815823617832214E-3</v>
      </c>
      <c r="F57" s="5">
        <f t="shared" si="22"/>
        <v>5.2631669066694519E-3</v>
      </c>
      <c r="G57" s="5">
        <f t="shared" si="22"/>
        <v>7.7891117928912713E-3</v>
      </c>
      <c r="H57" s="6">
        <f t="shared" si="23"/>
        <v>7.7891117928912713E-3</v>
      </c>
    </row>
    <row r="58" spans="1:8" x14ac:dyDescent="0.35">
      <c r="A58" s="5">
        <v>19</v>
      </c>
      <c r="B58" s="5">
        <f t="shared" si="19"/>
        <v>-1.4524094946682453</v>
      </c>
      <c r="C58" s="5">
        <f t="shared" si="20"/>
        <v>1.452422846108675</v>
      </c>
      <c r="D58" s="5">
        <f t="shared" si="21"/>
        <v>-0.72884200140833855</v>
      </c>
      <c r="E58" s="5">
        <f t="shared" si="22"/>
        <v>3.6131719648191158E-3</v>
      </c>
      <c r="F58" s="5">
        <f t="shared" si="22"/>
        <v>3.6223312805205169E-3</v>
      </c>
      <c r="G58" s="5">
        <f t="shared" si="22"/>
        <v>5.2631669066694519E-3</v>
      </c>
      <c r="H58" s="6">
        <f t="shared" si="23"/>
        <v>5.2631669066694519E-3</v>
      </c>
    </row>
    <row r="59" spans="1:8" x14ac:dyDescent="0.35">
      <c r="A59" s="7">
        <v>20</v>
      </c>
      <c r="B59" s="7">
        <f t="shared" si="19"/>
        <v>-1.4559990772977471</v>
      </c>
      <c r="C59" s="7">
        <f t="shared" si="20"/>
        <v>1.456005753017962</v>
      </c>
      <c r="D59" s="7">
        <f t="shared" si="21"/>
        <v>-0.7262114230543375</v>
      </c>
      <c r="E59" s="7">
        <f t="shared" si="22"/>
        <v>2.4653742474644177E-3</v>
      </c>
      <c r="F59" s="7">
        <f t="shared" si="22"/>
        <v>2.460777989276788E-3</v>
      </c>
      <c r="G59" s="7">
        <f t="shared" si="22"/>
        <v>3.6223312805205169E-3</v>
      </c>
      <c r="H59" s="8">
        <f t="shared" si="23"/>
        <v>3.6223312805205169E-3</v>
      </c>
    </row>
    <row r="61" spans="1:8" x14ac:dyDescent="0.35">
      <c r="A61" s="1" t="s">
        <v>0</v>
      </c>
      <c r="B61" s="1"/>
      <c r="C61" s="2" t="s">
        <v>1</v>
      </c>
      <c r="D61" s="1" t="s">
        <v>2</v>
      </c>
      <c r="E61" s="1"/>
      <c r="F61" s="1"/>
      <c r="G61" s="2" t="s">
        <v>3</v>
      </c>
      <c r="H61" s="3">
        <v>1E-4</v>
      </c>
    </row>
    <row r="62" spans="1:8" x14ac:dyDescent="0.35">
      <c r="A62" s="1" t="s">
        <v>4</v>
      </c>
      <c r="B62" s="1"/>
      <c r="C62" s="2" t="s">
        <v>1</v>
      </c>
      <c r="D62" s="1" t="s">
        <v>5</v>
      </c>
      <c r="E62" s="1"/>
      <c r="F62" s="1"/>
      <c r="G62" s="2" t="s">
        <v>6</v>
      </c>
      <c r="H62" s="2">
        <v>30</v>
      </c>
    </row>
    <row r="63" spans="1:8" x14ac:dyDescent="0.35">
      <c r="A63" s="1" t="s">
        <v>7</v>
      </c>
      <c r="B63" s="1"/>
      <c r="C63" s="2" t="s">
        <v>1</v>
      </c>
      <c r="D63" s="1" t="s">
        <v>8</v>
      </c>
      <c r="E63" s="1"/>
      <c r="F63" s="1"/>
    </row>
    <row r="65" spans="1:8" x14ac:dyDescent="0.35">
      <c r="A65" s="4" t="s">
        <v>9</v>
      </c>
      <c r="B65" s="4" t="s">
        <v>10</v>
      </c>
      <c r="C65" s="4" t="s">
        <v>11</v>
      </c>
      <c r="D65" s="4" t="s">
        <v>12</v>
      </c>
      <c r="E65" s="4" t="s">
        <v>13</v>
      </c>
      <c r="F65" s="4" t="s">
        <v>14</v>
      </c>
      <c r="G65" s="4" t="s">
        <v>15</v>
      </c>
      <c r="H65" s="4" t="s">
        <v>16</v>
      </c>
    </row>
    <row r="66" spans="1:8" x14ac:dyDescent="0.35">
      <c r="A66" s="5">
        <v>0</v>
      </c>
      <c r="B66" s="5">
        <v>2</v>
      </c>
      <c r="C66" s="5">
        <v>5</v>
      </c>
      <c r="D66" s="5">
        <v>8</v>
      </c>
      <c r="E66" s="5"/>
      <c r="F66" s="5"/>
      <c r="G66" s="5"/>
      <c r="H66" s="5"/>
    </row>
    <row r="67" spans="1:8" x14ac:dyDescent="0.35">
      <c r="A67" s="5">
        <v>1</v>
      </c>
      <c r="B67" s="5">
        <f>(-1/2)*(4-C66-1/2*D66)</f>
        <v>2.5</v>
      </c>
      <c r="C67" s="5">
        <f>(-1/2)*((-4)-B66+1/2*D66)</f>
        <v>1</v>
      </c>
      <c r="D67" s="5">
        <f>1/2*(-C66)</f>
        <v>-2.5</v>
      </c>
      <c r="E67" s="5">
        <f t="shared" ref="E67:G82" si="24">ABS((B67-B66)/B67)</f>
        <v>0.2</v>
      </c>
      <c r="F67" s="5">
        <f t="shared" si="24"/>
        <v>4</v>
      </c>
      <c r="G67" s="5">
        <f t="shared" si="24"/>
        <v>4.2</v>
      </c>
      <c r="H67" s="6">
        <f>MAX(E67:G67)</f>
        <v>4.2</v>
      </c>
    </row>
    <row r="68" spans="1:8" x14ac:dyDescent="0.35">
      <c r="A68" s="5">
        <v>2</v>
      </c>
      <c r="B68" s="5">
        <f>(-1/2)*(4-C67-1/2*D67)</f>
        <v>-2.125</v>
      </c>
      <c r="C68" s="5">
        <f>(-1/2)*((-4)-B67+1/2*D67)</f>
        <v>3.875</v>
      </c>
      <c r="D68" s="5">
        <f>1/2*(-C67)</f>
        <v>-0.5</v>
      </c>
      <c r="E68" s="5">
        <f t="shared" si="24"/>
        <v>2.1764705882352939</v>
      </c>
      <c r="F68" s="5">
        <f t="shared" si="24"/>
        <v>0.74193548387096775</v>
      </c>
      <c r="G68" s="5">
        <f t="shared" si="24"/>
        <v>4</v>
      </c>
      <c r="H68" s="6">
        <f>MAX(E68:G68)</f>
        <v>4</v>
      </c>
    </row>
    <row r="69" spans="1:8" x14ac:dyDescent="0.35">
      <c r="A69" s="5">
        <v>3</v>
      </c>
      <c r="B69" s="5">
        <f t="shared" ref="B69:B86" si="25">(-1/2)*(4-C68-1/2*D68)</f>
        <v>-0.1875</v>
      </c>
      <c r="C69" s="5">
        <f t="shared" ref="C69:C86" si="26">(-1/2)*((-4)-B68+1/2*D68)</f>
        <v>1.0625</v>
      </c>
      <c r="D69" s="5">
        <f t="shared" ref="D69:D86" si="27">1/2*(-C68)</f>
        <v>-1.9375</v>
      </c>
      <c r="E69" s="5">
        <f t="shared" si="24"/>
        <v>10.333333333333334</v>
      </c>
      <c r="F69" s="5">
        <f t="shared" si="24"/>
        <v>2.6470588235294117</v>
      </c>
      <c r="G69" s="5">
        <f t="shared" si="24"/>
        <v>0.74193548387096775</v>
      </c>
      <c r="H69" s="6">
        <f t="shared" ref="H69:H86" si="28">MAX(E69:G69)</f>
        <v>10.333333333333334</v>
      </c>
    </row>
    <row r="70" spans="1:8" x14ac:dyDescent="0.35">
      <c r="A70" s="5">
        <v>4</v>
      </c>
      <c r="B70" s="5">
        <f t="shared" si="25"/>
        <v>-1.953125</v>
      </c>
      <c r="C70" s="5">
        <f t="shared" si="26"/>
        <v>2.390625</v>
      </c>
      <c r="D70" s="5">
        <f t="shared" si="27"/>
        <v>-0.53125</v>
      </c>
      <c r="E70" s="5">
        <f t="shared" si="24"/>
        <v>0.90400000000000003</v>
      </c>
      <c r="F70" s="5">
        <f t="shared" si="24"/>
        <v>0.55555555555555558</v>
      </c>
      <c r="G70" s="5">
        <f t="shared" si="24"/>
        <v>2.6470588235294117</v>
      </c>
      <c r="H70" s="6">
        <f t="shared" si="28"/>
        <v>2.6470588235294117</v>
      </c>
    </row>
    <row r="71" spans="1:8" x14ac:dyDescent="0.35">
      <c r="A71" s="5">
        <v>5</v>
      </c>
      <c r="B71" s="5">
        <f t="shared" si="25"/>
        <v>-0.9375</v>
      </c>
      <c r="C71" s="5">
        <f t="shared" si="26"/>
        <v>1.15625</v>
      </c>
      <c r="D71" s="5">
        <f t="shared" si="27"/>
        <v>-1.1953125</v>
      </c>
      <c r="E71" s="5">
        <f t="shared" si="24"/>
        <v>1.0833333333333333</v>
      </c>
      <c r="F71" s="5">
        <f t="shared" si="24"/>
        <v>1.0675675675675675</v>
      </c>
      <c r="G71" s="5">
        <f t="shared" si="24"/>
        <v>0.55555555555555558</v>
      </c>
      <c r="H71" s="6">
        <f t="shared" si="28"/>
        <v>1.0833333333333333</v>
      </c>
    </row>
    <row r="72" spans="1:8" x14ac:dyDescent="0.35">
      <c r="A72" s="5">
        <v>6</v>
      </c>
      <c r="B72" s="5">
        <f t="shared" si="25"/>
        <v>-1.720703125</v>
      </c>
      <c r="C72" s="5">
        <f t="shared" si="26"/>
        <v>1.830078125</v>
      </c>
      <c r="D72" s="5">
        <f t="shared" si="27"/>
        <v>-0.578125</v>
      </c>
      <c r="E72" s="5">
        <f t="shared" si="24"/>
        <v>0.45516458569807039</v>
      </c>
      <c r="F72" s="5">
        <f t="shared" si="24"/>
        <v>0.36819637139807898</v>
      </c>
      <c r="G72" s="5">
        <f t="shared" si="24"/>
        <v>1.0675675675675675</v>
      </c>
      <c r="H72" s="6">
        <f t="shared" si="28"/>
        <v>1.0675675675675675</v>
      </c>
    </row>
    <row r="73" spans="1:8" x14ac:dyDescent="0.35">
      <c r="A73" s="5">
        <v>7</v>
      </c>
      <c r="B73" s="5">
        <f t="shared" si="25"/>
        <v>-1.2294921875</v>
      </c>
      <c r="C73" s="5">
        <f t="shared" si="26"/>
        <v>1.2841796875</v>
      </c>
      <c r="D73" s="5">
        <f t="shared" si="27"/>
        <v>-0.9150390625</v>
      </c>
      <c r="E73" s="5">
        <f t="shared" si="24"/>
        <v>0.39952343129467832</v>
      </c>
      <c r="F73" s="5">
        <f t="shared" si="24"/>
        <v>0.42509505703422051</v>
      </c>
      <c r="G73" s="5">
        <f t="shared" si="24"/>
        <v>0.36819637139807898</v>
      </c>
      <c r="H73" s="6">
        <f t="shared" si="28"/>
        <v>0.42509505703422051</v>
      </c>
    </row>
    <row r="74" spans="1:8" x14ac:dyDescent="0.35">
      <c r="A74" s="5">
        <v>8</v>
      </c>
      <c r="B74" s="5">
        <f t="shared" si="25"/>
        <v>-1.586669921875</v>
      </c>
      <c r="C74" s="5">
        <f t="shared" si="26"/>
        <v>1.614013671875</v>
      </c>
      <c r="D74" s="5">
        <f t="shared" si="27"/>
        <v>-0.64208984375</v>
      </c>
      <c r="E74" s="5">
        <f t="shared" si="24"/>
        <v>0.22511155562394214</v>
      </c>
      <c r="F74" s="5">
        <f t="shared" si="24"/>
        <v>0.20435637573740736</v>
      </c>
      <c r="G74" s="5">
        <f t="shared" si="24"/>
        <v>0.42509505703422051</v>
      </c>
      <c r="H74" s="6">
        <f t="shared" si="28"/>
        <v>0.42509505703422051</v>
      </c>
    </row>
    <row r="75" spans="1:8" x14ac:dyDescent="0.35">
      <c r="A75" s="5">
        <v>9</v>
      </c>
      <c r="B75" s="5">
        <f t="shared" si="25"/>
        <v>-1.353515625</v>
      </c>
      <c r="C75" s="5">
        <f t="shared" si="26"/>
        <v>1.3671875</v>
      </c>
      <c r="D75" s="5">
        <f t="shared" si="27"/>
        <v>-0.8070068359375</v>
      </c>
      <c r="E75" s="5">
        <f t="shared" si="24"/>
        <v>0.17225829725829725</v>
      </c>
      <c r="F75" s="5">
        <f t="shared" si="24"/>
        <v>0.1805357142857143</v>
      </c>
      <c r="G75" s="5">
        <f t="shared" si="24"/>
        <v>0.20435637573740736</v>
      </c>
      <c r="H75" s="6">
        <f t="shared" si="28"/>
        <v>0.20435637573740736</v>
      </c>
    </row>
    <row r="76" spans="1:8" x14ac:dyDescent="0.35">
      <c r="A76" s="5">
        <v>10</v>
      </c>
      <c r="B76" s="5">
        <f t="shared" si="25"/>
        <v>-1.518157958984375</v>
      </c>
      <c r="C76" s="5">
        <f t="shared" si="26"/>
        <v>1.524993896484375</v>
      </c>
      <c r="D76" s="5">
        <f t="shared" si="27"/>
        <v>-0.68359375</v>
      </c>
      <c r="E76" s="5">
        <f t="shared" si="24"/>
        <v>0.10844875067843288</v>
      </c>
      <c r="F76" s="5">
        <f t="shared" si="24"/>
        <v>0.10348001841067819</v>
      </c>
      <c r="G76" s="5">
        <f t="shared" si="24"/>
        <v>0.1805357142857143</v>
      </c>
      <c r="H76" s="6">
        <f t="shared" si="28"/>
        <v>0.1805357142857143</v>
      </c>
    </row>
    <row r="77" spans="1:8" x14ac:dyDescent="0.35">
      <c r="A77" s="5">
        <v>11</v>
      </c>
      <c r="B77" s="5">
        <f t="shared" si="25"/>
        <v>-1.4084014892578125</v>
      </c>
      <c r="C77" s="5">
        <f t="shared" si="26"/>
        <v>1.4118194580078125</v>
      </c>
      <c r="D77" s="5">
        <f t="shared" si="27"/>
        <v>-0.7624969482421875</v>
      </c>
      <c r="E77" s="5">
        <f t="shared" si="24"/>
        <v>7.7929816578368602E-2</v>
      </c>
      <c r="F77" s="5">
        <f t="shared" si="24"/>
        <v>8.0162118346392863E-2</v>
      </c>
      <c r="G77" s="5">
        <f t="shared" si="24"/>
        <v>0.10348001841067819</v>
      </c>
      <c r="H77" s="6">
        <f t="shared" si="28"/>
        <v>0.10348001841067819</v>
      </c>
    </row>
    <row r="78" spans="1:8" x14ac:dyDescent="0.35">
      <c r="A78" s="5">
        <v>12</v>
      </c>
      <c r="B78" s="5">
        <f t="shared" si="25"/>
        <v>-1.4847145080566406</v>
      </c>
      <c r="C78" s="5">
        <f t="shared" si="26"/>
        <v>1.4864234924316406</v>
      </c>
      <c r="D78" s="5">
        <f t="shared" si="27"/>
        <v>-0.70590972900390625</v>
      </c>
      <c r="E78" s="5">
        <f t="shared" si="24"/>
        <v>5.1399119753140342E-2</v>
      </c>
      <c r="F78" s="5">
        <f t="shared" si="24"/>
        <v>5.0190295567640257E-2</v>
      </c>
      <c r="G78" s="5">
        <f t="shared" si="24"/>
        <v>8.0162118346392863E-2</v>
      </c>
      <c r="H78" s="6">
        <f t="shared" si="28"/>
        <v>8.0162118346392863E-2</v>
      </c>
    </row>
    <row r="79" spans="1:8" x14ac:dyDescent="0.35">
      <c r="A79" s="5">
        <v>13</v>
      </c>
      <c r="B79" s="5">
        <f t="shared" si="25"/>
        <v>-1.4332656860351563</v>
      </c>
      <c r="C79" s="5">
        <f t="shared" si="26"/>
        <v>1.4341201782226563</v>
      </c>
      <c r="D79" s="5">
        <f t="shared" si="27"/>
        <v>-0.74321174621582031</v>
      </c>
      <c r="E79" s="5">
        <f t="shared" si="24"/>
        <v>3.58962211422275E-2</v>
      </c>
      <c r="F79" s="5">
        <f t="shared" si="24"/>
        <v>3.6470663339947758E-2</v>
      </c>
      <c r="G79" s="5">
        <f t="shared" si="24"/>
        <v>5.0190295567640257E-2</v>
      </c>
      <c r="H79" s="6">
        <f t="shared" si="28"/>
        <v>5.0190295567640257E-2</v>
      </c>
    </row>
    <row r="80" spans="1:8" x14ac:dyDescent="0.35">
      <c r="A80" s="5">
        <v>14</v>
      </c>
      <c r="B80" s="5">
        <f t="shared" si="25"/>
        <v>-1.468742847442627</v>
      </c>
      <c r="C80" s="5">
        <f t="shared" si="26"/>
        <v>1.469170093536377</v>
      </c>
      <c r="D80" s="5">
        <f t="shared" si="27"/>
        <v>-0.71706008911132813</v>
      </c>
      <c r="E80" s="5">
        <f t="shared" si="24"/>
        <v>2.4154780715523815E-2</v>
      </c>
      <c r="F80" s="5">
        <f t="shared" si="24"/>
        <v>2.3856948537084321E-2</v>
      </c>
      <c r="G80" s="5">
        <f t="shared" si="24"/>
        <v>3.6470663339947758E-2</v>
      </c>
      <c r="H80" s="6">
        <f t="shared" si="28"/>
        <v>3.6470663339947758E-2</v>
      </c>
    </row>
    <row r="81" spans="1:8" x14ac:dyDescent="0.35">
      <c r="A81" s="5">
        <v>15</v>
      </c>
      <c r="B81" s="5">
        <f t="shared" si="25"/>
        <v>-1.4446799755096436</v>
      </c>
      <c r="C81" s="5">
        <f t="shared" si="26"/>
        <v>1.4448935985565186</v>
      </c>
      <c r="D81" s="5">
        <f t="shared" si="27"/>
        <v>-0.73458504676818848</v>
      </c>
      <c r="E81" s="5">
        <f t="shared" si="24"/>
        <v>1.6656195379530111E-2</v>
      </c>
      <c r="F81" s="5">
        <f t="shared" si="24"/>
        <v>1.6801579717780717E-2</v>
      </c>
      <c r="G81" s="5">
        <f t="shared" si="24"/>
        <v>2.3856948537084321E-2</v>
      </c>
      <c r="H81" s="6">
        <f t="shared" si="28"/>
        <v>2.3856948537084321E-2</v>
      </c>
    </row>
    <row r="82" spans="1:8" x14ac:dyDescent="0.35">
      <c r="A82" s="5">
        <v>16</v>
      </c>
      <c r="B82" s="5">
        <f t="shared" si="25"/>
        <v>-1.4611994624137878</v>
      </c>
      <c r="C82" s="5">
        <f t="shared" si="26"/>
        <v>1.4613062739372253</v>
      </c>
      <c r="D82" s="5">
        <f t="shared" si="27"/>
        <v>-0.72244679927825928</v>
      </c>
      <c r="E82" s="5">
        <f t="shared" si="24"/>
        <v>1.1305429086906026E-2</v>
      </c>
      <c r="F82" s="5">
        <f t="shared" si="24"/>
        <v>1.1231509556505087E-2</v>
      </c>
      <c r="G82" s="5">
        <f t="shared" si="24"/>
        <v>1.6801579717780717E-2</v>
      </c>
      <c r="H82" s="6">
        <f t="shared" si="28"/>
        <v>1.6801579717780717E-2</v>
      </c>
    </row>
    <row r="83" spans="1:8" x14ac:dyDescent="0.35">
      <c r="A83" s="5">
        <v>17</v>
      </c>
      <c r="B83" s="5">
        <f t="shared" si="25"/>
        <v>-1.4499585628509521</v>
      </c>
      <c r="C83" s="5">
        <f t="shared" si="26"/>
        <v>1.4500119686126709</v>
      </c>
      <c r="D83" s="5">
        <f t="shared" si="27"/>
        <v>-0.73065313696861267</v>
      </c>
      <c r="E83" s="5">
        <f t="shared" ref="E83:G100" si="29">ABS((B83-B82)/B83)</f>
        <v>7.7525660738424814E-3</v>
      </c>
      <c r="F83" s="5">
        <f t="shared" si="29"/>
        <v>7.7891117928912713E-3</v>
      </c>
      <c r="G83" s="5">
        <f t="shared" si="29"/>
        <v>1.1231509556505087E-2</v>
      </c>
      <c r="H83" s="6">
        <f t="shared" si="28"/>
        <v>1.1231509556505087E-2</v>
      </c>
    </row>
    <row r="84" spans="1:8" x14ac:dyDescent="0.35">
      <c r="A84" s="5">
        <v>18</v>
      </c>
      <c r="B84" s="5">
        <f t="shared" si="25"/>
        <v>-1.4576572999358177</v>
      </c>
      <c r="C84" s="5">
        <f t="shared" si="26"/>
        <v>1.4576840028166771</v>
      </c>
      <c r="D84" s="5">
        <f t="shared" si="27"/>
        <v>-0.72500598430633545</v>
      </c>
      <c r="E84" s="5">
        <f t="shared" si="29"/>
        <v>5.2815823617832214E-3</v>
      </c>
      <c r="F84" s="5">
        <f t="shared" si="29"/>
        <v>5.2631669066694519E-3</v>
      </c>
      <c r="G84" s="5">
        <f t="shared" si="29"/>
        <v>7.7891117928912713E-3</v>
      </c>
      <c r="H84" s="6">
        <f t="shared" si="28"/>
        <v>7.7891117928912713E-3</v>
      </c>
    </row>
    <row r="85" spans="1:8" x14ac:dyDescent="0.35">
      <c r="A85" s="5">
        <v>19</v>
      </c>
      <c r="B85" s="5">
        <f t="shared" si="25"/>
        <v>-1.4524094946682453</v>
      </c>
      <c r="C85" s="5">
        <f t="shared" si="26"/>
        <v>1.452422846108675</v>
      </c>
      <c r="D85" s="5">
        <f t="shared" si="27"/>
        <v>-0.72884200140833855</v>
      </c>
      <c r="E85" s="5">
        <f t="shared" si="29"/>
        <v>3.6131719648191158E-3</v>
      </c>
      <c r="F85" s="5">
        <f t="shared" si="29"/>
        <v>3.6223312805205169E-3</v>
      </c>
      <c r="G85" s="5">
        <f t="shared" si="29"/>
        <v>5.2631669066694519E-3</v>
      </c>
      <c r="H85" s="6">
        <f t="shared" si="28"/>
        <v>5.2631669066694519E-3</v>
      </c>
    </row>
    <row r="86" spans="1:8" x14ac:dyDescent="0.35">
      <c r="A86" s="5">
        <v>20</v>
      </c>
      <c r="B86" s="5">
        <f t="shared" si="25"/>
        <v>-1.4559990772977471</v>
      </c>
      <c r="C86" s="5">
        <f t="shared" si="26"/>
        <v>1.456005753017962</v>
      </c>
      <c r="D86" s="5">
        <f t="shared" si="27"/>
        <v>-0.7262114230543375</v>
      </c>
      <c r="E86" s="5">
        <f t="shared" si="29"/>
        <v>2.4653742474644177E-3</v>
      </c>
      <c r="F86" s="5">
        <f t="shared" si="29"/>
        <v>2.460777989276788E-3</v>
      </c>
      <c r="G86" s="5">
        <f t="shared" si="29"/>
        <v>3.6223312805205169E-3</v>
      </c>
      <c r="H86" s="6">
        <f t="shared" si="28"/>
        <v>3.6223312805205169E-3</v>
      </c>
    </row>
    <row r="87" spans="1:8" x14ac:dyDescent="0.35">
      <c r="A87" s="5">
        <v>21</v>
      </c>
      <c r="B87" s="5">
        <f>(-1/2)*(4-C86-1/2*D86)</f>
        <v>-1.4535499792546034</v>
      </c>
      <c r="C87" s="5">
        <f>(-1/2)*((-4)-B86+1/2*D86)</f>
        <v>1.4535533171147108</v>
      </c>
      <c r="D87" s="5">
        <f>1/2*(-C86)</f>
        <v>-0.72800287650898099</v>
      </c>
      <c r="E87" s="5">
        <f t="shared" si="29"/>
        <v>1.6849080376305147E-3</v>
      </c>
      <c r="F87" s="5">
        <f t="shared" si="29"/>
        <v>1.6872005136483281E-3</v>
      </c>
      <c r="G87" s="5">
        <f t="shared" si="29"/>
        <v>2.460777989276788E-3</v>
      </c>
      <c r="H87" s="6">
        <f>MAX(E87:G87)</f>
        <v>2.460777989276788E-3</v>
      </c>
    </row>
    <row r="88" spans="1:8" x14ac:dyDescent="0.35">
      <c r="A88" s="5">
        <v>22</v>
      </c>
      <c r="B88" s="5">
        <f>(-1/2)*(4-C87-1/2*D87)</f>
        <v>-1.4552240605698898</v>
      </c>
      <c r="C88" s="5">
        <f>(-1/2)*((-4)-B87+1/2*D87)</f>
        <v>1.4552257294999436</v>
      </c>
      <c r="D88" s="5">
        <f>1/2*(-C87)</f>
        <v>-0.7267766585573554</v>
      </c>
      <c r="E88" s="5">
        <f t="shared" si="29"/>
        <v>1.1503941974618393E-3</v>
      </c>
      <c r="F88" s="5">
        <f t="shared" si="29"/>
        <v>1.1492460250874168E-3</v>
      </c>
      <c r="G88" s="5">
        <f t="shared" si="29"/>
        <v>1.6872005136483281E-3</v>
      </c>
      <c r="H88" s="6">
        <f>MAX(E88:G88)</f>
        <v>1.6872005136483281E-3</v>
      </c>
    </row>
    <row r="89" spans="1:8" x14ac:dyDescent="0.35">
      <c r="A89" s="5">
        <v>23</v>
      </c>
      <c r="B89" s="5">
        <f t="shared" ref="B89" si="30">(-1/2)*(4-C88-1/2*D88)</f>
        <v>-1.4540812998893671</v>
      </c>
      <c r="C89" s="5">
        <f t="shared" ref="C89" si="31">(-1/2)*((-4)-B88+1/2*D88)</f>
        <v>1.4540821343543939</v>
      </c>
      <c r="D89" s="5">
        <f t="shared" ref="D89" si="32">1/2*(-C88)</f>
        <v>-0.72761286474997178</v>
      </c>
      <c r="E89" s="5">
        <f t="shared" si="29"/>
        <v>7.8589875312316858E-4</v>
      </c>
      <c r="F89" s="5">
        <f t="shared" si="29"/>
        <v>7.8647217961822793E-4</v>
      </c>
      <c r="G89" s="5">
        <f t="shared" si="29"/>
        <v>1.1492460250874168E-3</v>
      </c>
      <c r="H89" s="6">
        <f t="shared" ref="H89" si="33">MAX(E89:G89)</f>
        <v>1.1492460250874168E-3</v>
      </c>
    </row>
    <row r="90" spans="1:8" x14ac:dyDescent="0.35">
      <c r="A90" s="5">
        <v>24</v>
      </c>
      <c r="B90" s="5">
        <f>(-1/2)*(4-C89-1/2*D89)</f>
        <v>-1.454862149010296</v>
      </c>
      <c r="C90" s="5">
        <f>(-1/2)*((-4)-B89+1/2*D89)</f>
        <v>1.4548625662428094</v>
      </c>
      <c r="D90" s="5">
        <f>1/2*(-C89)</f>
        <v>-0.72704106717719696</v>
      </c>
      <c r="E90" s="5">
        <f t="shared" si="29"/>
        <v>5.3671691263677238E-4</v>
      </c>
      <c r="F90" s="5">
        <f t="shared" si="29"/>
        <v>5.3642997388471392E-4</v>
      </c>
      <c r="G90" s="5">
        <f t="shared" si="29"/>
        <v>7.8647217961822793E-4</v>
      </c>
      <c r="H90" s="6">
        <f>MAX(E90:G90)</f>
        <v>7.8647217961822793E-4</v>
      </c>
    </row>
    <row r="91" spans="1:8" x14ac:dyDescent="0.35">
      <c r="A91" s="5">
        <v>25</v>
      </c>
      <c r="B91" s="5">
        <f>(-1/2)*(4-C90-1/2*D90)</f>
        <v>-1.4543289836728945</v>
      </c>
      <c r="C91" s="5">
        <f>(-1/2)*((-4)-B90+1/2*D90)</f>
        <v>1.4543291922891513</v>
      </c>
      <c r="D91" s="5">
        <f>1/2*(-C90)</f>
        <v>-0.7274312831214047</v>
      </c>
      <c r="E91" s="5">
        <f t="shared" si="29"/>
        <v>3.6660572909365946E-4</v>
      </c>
      <c r="F91" s="5">
        <f t="shared" si="29"/>
        <v>3.6674912150983635E-4</v>
      </c>
      <c r="G91" s="5">
        <f t="shared" si="29"/>
        <v>5.3642997388471392E-4</v>
      </c>
      <c r="H91" s="6">
        <f>MAX(E91:G91)</f>
        <v>5.3642997388471392E-4</v>
      </c>
    </row>
    <row r="92" spans="1:8" x14ac:dyDescent="0.35">
      <c r="A92" s="5">
        <v>26</v>
      </c>
      <c r="B92" s="5">
        <f t="shared" ref="B92:B96" si="34">(-1/2)*(4-C91-1/2*D91)</f>
        <v>-1.4546932246357756</v>
      </c>
      <c r="C92" s="5">
        <f t="shared" ref="C92:C96" si="35">(-1/2)*((-4)-B91+1/2*D91)</f>
        <v>1.4546933289439039</v>
      </c>
      <c r="D92" s="5">
        <f t="shared" ref="D92:D96" si="36">1/2*(-C91)</f>
        <v>-0.72716459614457563</v>
      </c>
      <c r="E92" s="5">
        <f t="shared" si="29"/>
        <v>2.503902243527745E-4</v>
      </c>
      <c r="F92" s="5">
        <f t="shared" si="29"/>
        <v>2.5031850185015716E-4</v>
      </c>
      <c r="G92" s="5">
        <f t="shared" si="29"/>
        <v>3.6674912150983635E-4</v>
      </c>
      <c r="H92" s="6">
        <f t="shared" ref="H92:H96" si="37">MAX(E92:G92)</f>
        <v>3.6674912150983635E-4</v>
      </c>
    </row>
    <row r="93" spans="1:8" x14ac:dyDescent="0.35">
      <c r="A93" s="5">
        <v>27</v>
      </c>
      <c r="B93" s="5">
        <f t="shared" si="34"/>
        <v>-1.454444484564192</v>
      </c>
      <c r="C93" s="5">
        <f t="shared" si="35"/>
        <v>1.4544445367182561</v>
      </c>
      <c r="D93" s="5">
        <f t="shared" si="36"/>
        <v>-0.72734666447195195</v>
      </c>
      <c r="E93" s="5">
        <f t="shared" si="29"/>
        <v>1.7102067093205668E-4</v>
      </c>
      <c r="F93" s="5">
        <f t="shared" si="29"/>
        <v>1.7105652320654289E-4</v>
      </c>
      <c r="G93" s="5">
        <f t="shared" si="29"/>
        <v>2.5031850185015716E-4</v>
      </c>
      <c r="H93" s="6">
        <f t="shared" si="37"/>
        <v>2.5031850185015716E-4</v>
      </c>
    </row>
    <row r="94" spans="1:8" x14ac:dyDescent="0.35">
      <c r="A94" s="5">
        <v>28</v>
      </c>
      <c r="B94" s="5">
        <f t="shared" si="34"/>
        <v>-1.4546143977588599</v>
      </c>
      <c r="C94" s="5">
        <f t="shared" si="35"/>
        <v>1.454614423835892</v>
      </c>
      <c r="D94" s="5">
        <f t="shared" si="36"/>
        <v>-0.72722226835912807</v>
      </c>
      <c r="E94" s="5">
        <f t="shared" si="29"/>
        <v>1.1680978473041174E-4</v>
      </c>
      <c r="F94" s="5">
        <f t="shared" si="29"/>
        <v>1.1679185552682736E-4</v>
      </c>
      <c r="G94" s="5">
        <f t="shared" si="29"/>
        <v>1.7105652320654289E-4</v>
      </c>
      <c r="H94" s="6">
        <f t="shared" si="37"/>
        <v>1.7105652320654289E-4</v>
      </c>
    </row>
    <row r="95" spans="1:8" x14ac:dyDescent="0.35">
      <c r="A95" s="5">
        <v>29</v>
      </c>
      <c r="B95" s="5">
        <f t="shared" si="34"/>
        <v>-1.454498355171836</v>
      </c>
      <c r="C95" s="5">
        <f t="shared" si="35"/>
        <v>1.4544983682103521</v>
      </c>
      <c r="D95" s="5">
        <f t="shared" si="36"/>
        <v>-0.72730721191794601</v>
      </c>
      <c r="E95" s="5">
        <f t="shared" si="29"/>
        <v>7.9781861981000968E-5</v>
      </c>
      <c r="F95" s="5">
        <f t="shared" si="29"/>
        <v>7.9790825535785544E-5</v>
      </c>
      <c r="G95" s="5">
        <f t="shared" si="29"/>
        <v>1.1679185552682736E-4</v>
      </c>
      <c r="H95" s="6">
        <f t="shared" si="37"/>
        <v>1.1679185552682736E-4</v>
      </c>
    </row>
    <row r="96" spans="1:8" x14ac:dyDescent="0.35">
      <c r="A96" s="7">
        <v>30</v>
      </c>
      <c r="B96" s="7">
        <f t="shared" si="34"/>
        <v>-1.4545776188743105</v>
      </c>
      <c r="C96" s="7">
        <f t="shared" si="35"/>
        <v>1.4545776253935685</v>
      </c>
      <c r="D96" s="7">
        <f t="shared" si="36"/>
        <v>-0.72724918410517603</v>
      </c>
      <c r="E96" s="7">
        <f t="shared" si="29"/>
        <v>5.4492590457843914E-5</v>
      </c>
      <c r="F96" s="7">
        <f t="shared" si="29"/>
        <v>5.4488108322851771E-5</v>
      </c>
      <c r="G96" s="7">
        <f t="shared" si="29"/>
        <v>7.9790825535785544E-5</v>
      </c>
      <c r="H96" s="8">
        <f t="shared" si="37"/>
        <v>7.9790825535785544E-5</v>
      </c>
    </row>
    <row r="98" spans="1:8" x14ac:dyDescent="0.35">
      <c r="A98" s="1" t="s">
        <v>0</v>
      </c>
      <c r="B98" s="1"/>
      <c r="C98" s="2" t="s">
        <v>1</v>
      </c>
      <c r="D98" s="1" t="s">
        <v>2</v>
      </c>
      <c r="E98" s="1"/>
      <c r="F98" s="1"/>
      <c r="G98" s="2" t="s">
        <v>3</v>
      </c>
      <c r="H98" s="9">
        <v>1E-3</v>
      </c>
    </row>
    <row r="99" spans="1:8" x14ac:dyDescent="0.35">
      <c r="A99" s="1" t="s">
        <v>4</v>
      </c>
      <c r="B99" s="1"/>
      <c r="C99" s="2" t="s">
        <v>1</v>
      </c>
      <c r="D99" s="1" t="s">
        <v>5</v>
      </c>
      <c r="E99" s="1"/>
      <c r="F99" s="1"/>
      <c r="G99" s="2" t="s">
        <v>6</v>
      </c>
      <c r="H99" s="2">
        <v>30</v>
      </c>
    </row>
    <row r="100" spans="1:8" x14ac:dyDescent="0.35">
      <c r="A100" s="1" t="s">
        <v>7</v>
      </c>
      <c r="B100" s="1"/>
      <c r="C100" s="2" t="s">
        <v>1</v>
      </c>
      <c r="D100" s="1" t="s">
        <v>8</v>
      </c>
      <c r="E100" s="1"/>
      <c r="F100" s="1"/>
    </row>
    <row r="102" spans="1:8" x14ac:dyDescent="0.35">
      <c r="A102" s="4" t="s">
        <v>9</v>
      </c>
      <c r="B102" s="4" t="s">
        <v>10</v>
      </c>
      <c r="C102" s="4" t="s">
        <v>11</v>
      </c>
      <c r="D102" s="4" t="s">
        <v>12</v>
      </c>
      <c r="E102" s="4" t="s">
        <v>13</v>
      </c>
      <c r="F102" s="4" t="s">
        <v>14</v>
      </c>
      <c r="G102" s="4" t="s">
        <v>15</v>
      </c>
      <c r="H102" s="4" t="s">
        <v>16</v>
      </c>
    </row>
    <row r="103" spans="1:8" x14ac:dyDescent="0.35">
      <c r="A103" s="5">
        <v>0</v>
      </c>
      <c r="B103" s="5">
        <v>2</v>
      </c>
      <c r="C103" s="5">
        <v>5</v>
      </c>
      <c r="D103" s="5">
        <v>8</v>
      </c>
      <c r="E103" s="5"/>
      <c r="F103" s="5"/>
      <c r="G103" s="5"/>
      <c r="H103" s="5"/>
    </row>
    <row r="104" spans="1:8" x14ac:dyDescent="0.35">
      <c r="A104" s="5">
        <v>1</v>
      </c>
      <c r="B104" s="5">
        <f>(-1/2)*(4-C103-1/2*D103)</f>
        <v>2.5</v>
      </c>
      <c r="C104" s="5">
        <f>(-1/2)*((-4)-B103+1/2*D103)</f>
        <v>1</v>
      </c>
      <c r="D104" s="5">
        <f>1/2*(-C103)</f>
        <v>-2.5</v>
      </c>
      <c r="E104" s="5">
        <f t="shared" ref="E104:G119" si="38">ABS((B104-B103)/B104)</f>
        <v>0.2</v>
      </c>
      <c r="F104" s="5">
        <f t="shared" si="38"/>
        <v>4</v>
      </c>
      <c r="G104" s="5">
        <f t="shared" si="38"/>
        <v>4.2</v>
      </c>
      <c r="H104" s="6">
        <f>MAX(E104:G104)</f>
        <v>4.2</v>
      </c>
    </row>
    <row r="105" spans="1:8" x14ac:dyDescent="0.35">
      <c r="A105" s="5">
        <v>2</v>
      </c>
      <c r="B105" s="5">
        <f>(-1/2)*(4-C104-1/2*D104)</f>
        <v>-2.125</v>
      </c>
      <c r="C105" s="5">
        <f>(-1/2)*((-4)-B104+1/2*D104)</f>
        <v>3.875</v>
      </c>
      <c r="D105" s="5">
        <f>1/2*(-C104)</f>
        <v>-0.5</v>
      </c>
      <c r="E105" s="5">
        <f t="shared" si="38"/>
        <v>2.1764705882352939</v>
      </c>
      <c r="F105" s="5">
        <f t="shared" si="38"/>
        <v>0.74193548387096775</v>
      </c>
      <c r="G105" s="5">
        <f t="shared" si="38"/>
        <v>4</v>
      </c>
      <c r="H105" s="6">
        <f>MAX(E105:G105)</f>
        <v>4</v>
      </c>
    </row>
    <row r="106" spans="1:8" x14ac:dyDescent="0.35">
      <c r="A106" s="5">
        <v>3</v>
      </c>
      <c r="B106" s="5">
        <f t="shared" ref="B106:B127" si="39">(-1/2)*(4-C105-1/2*D105)</f>
        <v>-0.1875</v>
      </c>
      <c r="C106" s="5">
        <f t="shared" ref="C106:C127" si="40">(-1/2)*((-4)-B105+1/2*D105)</f>
        <v>1.0625</v>
      </c>
      <c r="D106" s="5">
        <f t="shared" ref="D106:D127" si="41">1/2*(-C105)</f>
        <v>-1.9375</v>
      </c>
      <c r="E106" s="5">
        <f t="shared" si="38"/>
        <v>10.333333333333334</v>
      </c>
      <c r="F106" s="5">
        <f t="shared" si="38"/>
        <v>2.6470588235294117</v>
      </c>
      <c r="G106" s="5">
        <f t="shared" si="38"/>
        <v>0.74193548387096775</v>
      </c>
      <c r="H106" s="6">
        <f t="shared" ref="H106:H127" si="42">MAX(E106:G106)</f>
        <v>10.333333333333334</v>
      </c>
    </row>
    <row r="107" spans="1:8" x14ac:dyDescent="0.35">
      <c r="A107" s="5">
        <v>4</v>
      </c>
      <c r="B107" s="5">
        <f t="shared" si="39"/>
        <v>-1.953125</v>
      </c>
      <c r="C107" s="5">
        <f t="shared" si="40"/>
        <v>2.390625</v>
      </c>
      <c r="D107" s="5">
        <f t="shared" si="41"/>
        <v>-0.53125</v>
      </c>
      <c r="E107" s="5">
        <f t="shared" si="38"/>
        <v>0.90400000000000003</v>
      </c>
      <c r="F107" s="5">
        <f t="shared" si="38"/>
        <v>0.55555555555555558</v>
      </c>
      <c r="G107" s="5">
        <f t="shared" si="38"/>
        <v>2.6470588235294117</v>
      </c>
      <c r="H107" s="6">
        <f t="shared" si="42"/>
        <v>2.6470588235294117</v>
      </c>
    </row>
    <row r="108" spans="1:8" x14ac:dyDescent="0.35">
      <c r="A108" s="5">
        <v>5</v>
      </c>
      <c r="B108" s="5">
        <f t="shared" si="39"/>
        <v>-0.9375</v>
      </c>
      <c r="C108" s="5">
        <f t="shared" si="40"/>
        <v>1.15625</v>
      </c>
      <c r="D108" s="5">
        <f t="shared" si="41"/>
        <v>-1.1953125</v>
      </c>
      <c r="E108" s="5">
        <f t="shared" si="38"/>
        <v>1.0833333333333333</v>
      </c>
      <c r="F108" s="5">
        <f t="shared" si="38"/>
        <v>1.0675675675675675</v>
      </c>
      <c r="G108" s="5">
        <f t="shared" si="38"/>
        <v>0.55555555555555558</v>
      </c>
      <c r="H108" s="6">
        <f t="shared" si="42"/>
        <v>1.0833333333333333</v>
      </c>
    </row>
    <row r="109" spans="1:8" x14ac:dyDescent="0.35">
      <c r="A109" s="5">
        <v>6</v>
      </c>
      <c r="B109" s="5">
        <f t="shared" si="39"/>
        <v>-1.720703125</v>
      </c>
      <c r="C109" s="5">
        <f t="shared" si="40"/>
        <v>1.830078125</v>
      </c>
      <c r="D109" s="5">
        <f t="shared" si="41"/>
        <v>-0.578125</v>
      </c>
      <c r="E109" s="5">
        <f t="shared" si="38"/>
        <v>0.45516458569807039</v>
      </c>
      <c r="F109" s="5">
        <f t="shared" si="38"/>
        <v>0.36819637139807898</v>
      </c>
      <c r="G109" s="5">
        <f t="shared" si="38"/>
        <v>1.0675675675675675</v>
      </c>
      <c r="H109" s="6">
        <f t="shared" si="42"/>
        <v>1.0675675675675675</v>
      </c>
    </row>
    <row r="110" spans="1:8" x14ac:dyDescent="0.35">
      <c r="A110" s="5">
        <v>7</v>
      </c>
      <c r="B110" s="5">
        <f t="shared" si="39"/>
        <v>-1.2294921875</v>
      </c>
      <c r="C110" s="5">
        <f t="shared" si="40"/>
        <v>1.2841796875</v>
      </c>
      <c r="D110" s="5">
        <f t="shared" si="41"/>
        <v>-0.9150390625</v>
      </c>
      <c r="E110" s="5">
        <f t="shared" si="38"/>
        <v>0.39952343129467832</v>
      </c>
      <c r="F110" s="5">
        <f t="shared" si="38"/>
        <v>0.42509505703422051</v>
      </c>
      <c r="G110" s="5">
        <f t="shared" si="38"/>
        <v>0.36819637139807898</v>
      </c>
      <c r="H110" s="6">
        <f t="shared" si="42"/>
        <v>0.42509505703422051</v>
      </c>
    </row>
    <row r="111" spans="1:8" x14ac:dyDescent="0.35">
      <c r="A111" s="5">
        <v>8</v>
      </c>
      <c r="B111" s="5">
        <f t="shared" si="39"/>
        <v>-1.586669921875</v>
      </c>
      <c r="C111" s="5">
        <f t="shared" si="40"/>
        <v>1.614013671875</v>
      </c>
      <c r="D111" s="5">
        <f t="shared" si="41"/>
        <v>-0.64208984375</v>
      </c>
      <c r="E111" s="5">
        <f t="shared" si="38"/>
        <v>0.22511155562394214</v>
      </c>
      <c r="F111" s="5">
        <f t="shared" si="38"/>
        <v>0.20435637573740736</v>
      </c>
      <c r="G111" s="5">
        <f t="shared" si="38"/>
        <v>0.42509505703422051</v>
      </c>
      <c r="H111" s="6">
        <f t="shared" si="42"/>
        <v>0.42509505703422051</v>
      </c>
    </row>
    <row r="112" spans="1:8" x14ac:dyDescent="0.35">
      <c r="A112" s="5">
        <v>9</v>
      </c>
      <c r="B112" s="5">
        <f t="shared" si="39"/>
        <v>-1.353515625</v>
      </c>
      <c r="C112" s="5">
        <f t="shared" si="40"/>
        <v>1.3671875</v>
      </c>
      <c r="D112" s="5">
        <f t="shared" si="41"/>
        <v>-0.8070068359375</v>
      </c>
      <c r="E112" s="5">
        <f t="shared" si="38"/>
        <v>0.17225829725829725</v>
      </c>
      <c r="F112" s="5">
        <f t="shared" si="38"/>
        <v>0.1805357142857143</v>
      </c>
      <c r="G112" s="5">
        <f t="shared" si="38"/>
        <v>0.20435637573740736</v>
      </c>
      <c r="H112" s="6">
        <f t="shared" si="42"/>
        <v>0.20435637573740736</v>
      </c>
    </row>
    <row r="113" spans="1:8" x14ac:dyDescent="0.35">
      <c r="A113" s="5">
        <v>10</v>
      </c>
      <c r="B113" s="5">
        <f t="shared" si="39"/>
        <v>-1.518157958984375</v>
      </c>
      <c r="C113" s="5">
        <f t="shared" si="40"/>
        <v>1.524993896484375</v>
      </c>
      <c r="D113" s="5">
        <f t="shared" si="41"/>
        <v>-0.68359375</v>
      </c>
      <c r="E113" s="5">
        <f t="shared" si="38"/>
        <v>0.10844875067843288</v>
      </c>
      <c r="F113" s="5">
        <f t="shared" si="38"/>
        <v>0.10348001841067819</v>
      </c>
      <c r="G113" s="5">
        <f t="shared" si="38"/>
        <v>0.1805357142857143</v>
      </c>
      <c r="H113" s="6">
        <f t="shared" si="42"/>
        <v>0.1805357142857143</v>
      </c>
    </row>
    <row r="114" spans="1:8" x14ac:dyDescent="0.35">
      <c r="A114" s="5">
        <v>11</v>
      </c>
      <c r="B114" s="5">
        <f t="shared" si="39"/>
        <v>-1.4084014892578125</v>
      </c>
      <c r="C114" s="5">
        <f t="shared" si="40"/>
        <v>1.4118194580078125</v>
      </c>
      <c r="D114" s="5">
        <f t="shared" si="41"/>
        <v>-0.7624969482421875</v>
      </c>
      <c r="E114" s="5">
        <f t="shared" si="38"/>
        <v>7.7929816578368602E-2</v>
      </c>
      <c r="F114" s="5">
        <f t="shared" si="38"/>
        <v>8.0162118346392863E-2</v>
      </c>
      <c r="G114" s="5">
        <f t="shared" si="38"/>
        <v>0.10348001841067819</v>
      </c>
      <c r="H114" s="6">
        <f t="shared" si="42"/>
        <v>0.10348001841067819</v>
      </c>
    </row>
    <row r="115" spans="1:8" x14ac:dyDescent="0.35">
      <c r="A115" s="5">
        <v>12</v>
      </c>
      <c r="B115" s="5">
        <f t="shared" si="39"/>
        <v>-1.4847145080566406</v>
      </c>
      <c r="C115" s="5">
        <f t="shared" si="40"/>
        <v>1.4864234924316406</v>
      </c>
      <c r="D115" s="5">
        <f t="shared" si="41"/>
        <v>-0.70590972900390625</v>
      </c>
      <c r="E115" s="5">
        <f t="shared" si="38"/>
        <v>5.1399119753140342E-2</v>
      </c>
      <c r="F115" s="5">
        <f t="shared" si="38"/>
        <v>5.0190295567640257E-2</v>
      </c>
      <c r="G115" s="5">
        <f t="shared" si="38"/>
        <v>8.0162118346392863E-2</v>
      </c>
      <c r="H115" s="6">
        <f t="shared" si="42"/>
        <v>8.0162118346392863E-2</v>
      </c>
    </row>
    <row r="116" spans="1:8" x14ac:dyDescent="0.35">
      <c r="A116" s="5">
        <v>13</v>
      </c>
      <c r="B116" s="5">
        <f t="shared" si="39"/>
        <v>-1.4332656860351563</v>
      </c>
      <c r="C116" s="5">
        <f t="shared" si="40"/>
        <v>1.4341201782226563</v>
      </c>
      <c r="D116" s="5">
        <f t="shared" si="41"/>
        <v>-0.74321174621582031</v>
      </c>
      <c r="E116" s="5">
        <f t="shared" si="38"/>
        <v>3.58962211422275E-2</v>
      </c>
      <c r="F116" s="5">
        <f t="shared" si="38"/>
        <v>3.6470663339947758E-2</v>
      </c>
      <c r="G116" s="5">
        <f t="shared" si="38"/>
        <v>5.0190295567640257E-2</v>
      </c>
      <c r="H116" s="6">
        <f t="shared" si="42"/>
        <v>5.0190295567640257E-2</v>
      </c>
    </row>
    <row r="117" spans="1:8" x14ac:dyDescent="0.35">
      <c r="A117" s="5">
        <v>14</v>
      </c>
      <c r="B117" s="5">
        <f t="shared" si="39"/>
        <v>-1.468742847442627</v>
      </c>
      <c r="C117" s="5">
        <f t="shared" si="40"/>
        <v>1.469170093536377</v>
      </c>
      <c r="D117" s="5">
        <f t="shared" si="41"/>
        <v>-0.71706008911132813</v>
      </c>
      <c r="E117" s="5">
        <f t="shared" si="38"/>
        <v>2.4154780715523815E-2</v>
      </c>
      <c r="F117" s="5">
        <f t="shared" si="38"/>
        <v>2.3856948537084321E-2</v>
      </c>
      <c r="G117" s="5">
        <f t="shared" si="38"/>
        <v>3.6470663339947758E-2</v>
      </c>
      <c r="H117" s="6">
        <f t="shared" si="42"/>
        <v>3.6470663339947758E-2</v>
      </c>
    </row>
    <row r="118" spans="1:8" x14ac:dyDescent="0.35">
      <c r="A118" s="5">
        <v>15</v>
      </c>
      <c r="B118" s="5">
        <f t="shared" si="39"/>
        <v>-1.4446799755096436</v>
      </c>
      <c r="C118" s="5">
        <f t="shared" si="40"/>
        <v>1.4448935985565186</v>
      </c>
      <c r="D118" s="5">
        <f t="shared" si="41"/>
        <v>-0.73458504676818848</v>
      </c>
      <c r="E118" s="5">
        <f t="shared" si="38"/>
        <v>1.6656195379530111E-2</v>
      </c>
      <c r="F118" s="5">
        <f t="shared" si="38"/>
        <v>1.6801579717780717E-2</v>
      </c>
      <c r="G118" s="5">
        <f t="shared" si="38"/>
        <v>2.3856948537084321E-2</v>
      </c>
      <c r="H118" s="6">
        <f t="shared" si="42"/>
        <v>2.3856948537084321E-2</v>
      </c>
    </row>
    <row r="119" spans="1:8" x14ac:dyDescent="0.35">
      <c r="A119" s="5">
        <v>16</v>
      </c>
      <c r="B119" s="5">
        <f t="shared" si="39"/>
        <v>-1.4611994624137878</v>
      </c>
      <c r="C119" s="5">
        <f t="shared" si="40"/>
        <v>1.4613062739372253</v>
      </c>
      <c r="D119" s="5">
        <f t="shared" si="41"/>
        <v>-0.72244679927825928</v>
      </c>
      <c r="E119" s="5">
        <f t="shared" si="38"/>
        <v>1.1305429086906026E-2</v>
      </c>
      <c r="F119" s="5">
        <f t="shared" si="38"/>
        <v>1.1231509556505087E-2</v>
      </c>
      <c r="G119" s="5">
        <f t="shared" si="38"/>
        <v>1.6801579717780717E-2</v>
      </c>
      <c r="H119" s="6">
        <f t="shared" si="42"/>
        <v>1.6801579717780717E-2</v>
      </c>
    </row>
    <row r="120" spans="1:8" x14ac:dyDescent="0.35">
      <c r="A120" s="5">
        <v>17</v>
      </c>
      <c r="B120" s="5">
        <f t="shared" si="39"/>
        <v>-1.4499585628509521</v>
      </c>
      <c r="C120" s="5">
        <f t="shared" si="40"/>
        <v>1.4500119686126709</v>
      </c>
      <c r="D120" s="5">
        <f t="shared" si="41"/>
        <v>-0.73065313696861267</v>
      </c>
      <c r="E120" s="5">
        <f t="shared" ref="E120:G141" si="43">ABS((B120-B119)/B120)</f>
        <v>7.7525660738424814E-3</v>
      </c>
      <c r="F120" s="5">
        <f t="shared" si="43"/>
        <v>7.7891117928912713E-3</v>
      </c>
      <c r="G120" s="5">
        <f t="shared" si="43"/>
        <v>1.1231509556505087E-2</v>
      </c>
      <c r="H120" s="6">
        <f t="shared" si="42"/>
        <v>1.1231509556505087E-2</v>
      </c>
    </row>
    <row r="121" spans="1:8" x14ac:dyDescent="0.35">
      <c r="A121" s="5">
        <v>18</v>
      </c>
      <c r="B121" s="5">
        <f t="shared" si="39"/>
        <v>-1.4576572999358177</v>
      </c>
      <c r="C121" s="5">
        <f t="shared" si="40"/>
        <v>1.4576840028166771</v>
      </c>
      <c r="D121" s="5">
        <f t="shared" si="41"/>
        <v>-0.72500598430633545</v>
      </c>
      <c r="E121" s="5">
        <f t="shared" si="43"/>
        <v>5.2815823617832214E-3</v>
      </c>
      <c r="F121" s="5">
        <f t="shared" si="43"/>
        <v>5.2631669066694519E-3</v>
      </c>
      <c r="G121" s="5">
        <f t="shared" si="43"/>
        <v>7.7891117928912713E-3</v>
      </c>
      <c r="H121" s="6">
        <f t="shared" si="42"/>
        <v>7.7891117928912713E-3</v>
      </c>
    </row>
    <row r="122" spans="1:8" x14ac:dyDescent="0.35">
      <c r="A122" s="5">
        <v>19</v>
      </c>
      <c r="B122" s="5">
        <f t="shared" si="39"/>
        <v>-1.4524094946682453</v>
      </c>
      <c r="C122" s="5">
        <f t="shared" si="40"/>
        <v>1.452422846108675</v>
      </c>
      <c r="D122" s="5">
        <f t="shared" si="41"/>
        <v>-0.72884200140833855</v>
      </c>
      <c r="E122" s="5">
        <f t="shared" si="43"/>
        <v>3.6131719648191158E-3</v>
      </c>
      <c r="F122" s="5">
        <f t="shared" si="43"/>
        <v>3.6223312805205169E-3</v>
      </c>
      <c r="G122" s="5">
        <f t="shared" si="43"/>
        <v>5.2631669066694519E-3</v>
      </c>
      <c r="H122" s="6">
        <f t="shared" si="42"/>
        <v>5.2631669066694519E-3</v>
      </c>
    </row>
    <row r="123" spans="1:8" x14ac:dyDescent="0.35">
      <c r="A123" s="5">
        <v>20</v>
      </c>
      <c r="B123" s="5">
        <f t="shared" si="39"/>
        <v>-1.4559990772977471</v>
      </c>
      <c r="C123" s="5">
        <f t="shared" si="40"/>
        <v>1.456005753017962</v>
      </c>
      <c r="D123" s="5">
        <f t="shared" si="41"/>
        <v>-0.7262114230543375</v>
      </c>
      <c r="E123" s="5">
        <f t="shared" si="43"/>
        <v>2.4653742474644177E-3</v>
      </c>
      <c r="F123" s="5">
        <f t="shared" si="43"/>
        <v>2.460777989276788E-3</v>
      </c>
      <c r="G123" s="5">
        <f t="shared" si="43"/>
        <v>3.6223312805205169E-3</v>
      </c>
      <c r="H123" s="6">
        <f t="shared" si="42"/>
        <v>3.6223312805205169E-3</v>
      </c>
    </row>
    <row r="124" spans="1:8" x14ac:dyDescent="0.35">
      <c r="A124" s="5">
        <v>21</v>
      </c>
      <c r="B124" s="5">
        <f t="shared" si="39"/>
        <v>-1.4535499792546034</v>
      </c>
      <c r="C124" s="5">
        <f t="shared" si="40"/>
        <v>1.4535533171147108</v>
      </c>
      <c r="D124" s="5">
        <f t="shared" si="41"/>
        <v>-0.72800287650898099</v>
      </c>
      <c r="E124" s="5">
        <f t="shared" si="43"/>
        <v>1.6849080376305147E-3</v>
      </c>
      <c r="F124" s="5">
        <f t="shared" si="43"/>
        <v>1.6872005136483281E-3</v>
      </c>
      <c r="G124" s="5">
        <f t="shared" si="43"/>
        <v>2.460777989276788E-3</v>
      </c>
      <c r="H124" s="6">
        <f t="shared" si="42"/>
        <v>2.460777989276788E-3</v>
      </c>
    </row>
    <row r="125" spans="1:8" x14ac:dyDescent="0.35">
      <c r="A125" s="5">
        <v>22</v>
      </c>
      <c r="B125" s="5">
        <f t="shared" si="39"/>
        <v>-1.4552240605698898</v>
      </c>
      <c r="C125" s="5">
        <f t="shared" si="40"/>
        <v>1.4552257294999436</v>
      </c>
      <c r="D125" s="5">
        <f t="shared" si="41"/>
        <v>-0.7267766585573554</v>
      </c>
      <c r="E125" s="5">
        <f t="shared" si="43"/>
        <v>1.1503941974618393E-3</v>
      </c>
      <c r="F125" s="5">
        <f t="shared" si="43"/>
        <v>1.1492460250874168E-3</v>
      </c>
      <c r="G125" s="5">
        <f t="shared" si="43"/>
        <v>1.6872005136483281E-3</v>
      </c>
      <c r="H125" s="6">
        <f t="shared" si="42"/>
        <v>1.6872005136483281E-3</v>
      </c>
    </row>
    <row r="126" spans="1:8" x14ac:dyDescent="0.35">
      <c r="A126" s="5">
        <v>23</v>
      </c>
      <c r="B126" s="5">
        <f t="shared" si="39"/>
        <v>-1.4540812998893671</v>
      </c>
      <c r="C126" s="5">
        <f t="shared" si="40"/>
        <v>1.4540821343543939</v>
      </c>
      <c r="D126" s="5">
        <f t="shared" si="41"/>
        <v>-0.72761286474997178</v>
      </c>
      <c r="E126" s="5">
        <f t="shared" si="43"/>
        <v>7.8589875312316858E-4</v>
      </c>
      <c r="F126" s="5">
        <f t="shared" si="43"/>
        <v>7.8647217961822793E-4</v>
      </c>
      <c r="G126" s="5">
        <f t="shared" si="43"/>
        <v>1.1492460250874168E-3</v>
      </c>
      <c r="H126" s="6">
        <f t="shared" si="42"/>
        <v>1.1492460250874168E-3</v>
      </c>
    </row>
    <row r="127" spans="1:8" x14ac:dyDescent="0.35">
      <c r="A127" s="7">
        <v>24</v>
      </c>
      <c r="B127" s="7">
        <f t="shared" si="39"/>
        <v>-1.454862149010296</v>
      </c>
      <c r="C127" s="7">
        <f t="shared" si="40"/>
        <v>1.4548625662428094</v>
      </c>
      <c r="D127" s="7">
        <f t="shared" si="41"/>
        <v>-0.72704106717719696</v>
      </c>
      <c r="E127" s="7">
        <f t="shared" si="43"/>
        <v>5.3671691263677238E-4</v>
      </c>
      <c r="F127" s="7">
        <f t="shared" si="43"/>
        <v>5.3642997388471392E-4</v>
      </c>
      <c r="G127" s="7">
        <f t="shared" si="43"/>
        <v>7.8647217961822793E-4</v>
      </c>
      <c r="H127" s="8">
        <f t="shared" si="42"/>
        <v>7.8647217961822793E-4</v>
      </c>
    </row>
  </sheetData>
  <mergeCells count="24">
    <mergeCell ref="A98:B98"/>
    <mergeCell ref="D98:F98"/>
    <mergeCell ref="A99:B99"/>
    <mergeCell ref="D99:F99"/>
    <mergeCell ref="A100:B100"/>
    <mergeCell ref="D100:F100"/>
    <mergeCell ref="A61:B61"/>
    <mergeCell ref="D61:F61"/>
    <mergeCell ref="A62:B62"/>
    <mergeCell ref="D62:F62"/>
    <mergeCell ref="A63:B63"/>
    <mergeCell ref="D63:F63"/>
    <mergeCell ref="A34:B34"/>
    <mergeCell ref="D34:F34"/>
    <mergeCell ref="A35:B35"/>
    <mergeCell ref="D35:F35"/>
    <mergeCell ref="A36:B36"/>
    <mergeCell ref="D36:F36"/>
    <mergeCell ref="A1:B1"/>
    <mergeCell ref="D1:F1"/>
    <mergeCell ref="A2:B2"/>
    <mergeCell ref="D2:F2"/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2026-05-18T08:35:04Z</dcterms:created>
  <dcterms:modified xsi:type="dcterms:W3CDTF">2026-05-18T08:37:20Z</dcterms:modified>
</cp:coreProperties>
</file>